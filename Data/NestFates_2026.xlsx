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uagctr-my.sharepoint.com/personal/erikjohnson_agcenter_lsu_edu/Documents/Documents/Research/Urban Native Greens/Data/UNGVegData/Data/"/>
    </mc:Choice>
  </mc:AlternateContent>
  <xr:revisionPtr revIDLastSave="41" documentId="8_{EE23700D-8536-438D-9372-4714C69C1E72}" xr6:coauthVersionLast="47" xr6:coauthVersionMax="47" xr10:uidLastSave="{633A7A21-8508-45A5-ADF1-DA82AC449E78}"/>
  <bookViews>
    <workbookView xWindow="-23148" yWindow="-108" windowWidth="23256" windowHeight="12456" xr2:uid="{5DE56E10-4982-4E6B-8C60-86CD9F5EDFED}"/>
  </bookViews>
  <sheets>
    <sheet name="Sheet1" sheetId="1" r:id="rId1"/>
  </sheets>
  <definedNames>
    <definedName name="_xlnm._FilterDatabase" localSheetId="0" hidden="1">Sheet1!$A$1:$T$188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83" i="1" l="1"/>
  <c r="P182" i="1"/>
  <c r="P178" i="1"/>
  <c r="P176" i="1"/>
  <c r="P174" i="1"/>
  <c r="P173" i="1"/>
  <c r="P172" i="1"/>
  <c r="P171" i="1"/>
  <c r="P170" i="1"/>
  <c r="P167" i="1"/>
  <c r="P165" i="1"/>
  <c r="P164" i="1"/>
  <c r="P163" i="1"/>
  <c r="P161" i="1"/>
  <c r="P159" i="1"/>
  <c r="P154" i="1"/>
  <c r="P153" i="1"/>
  <c r="P152" i="1"/>
  <c r="P151" i="1"/>
  <c r="P150" i="1"/>
  <c r="P149" i="1"/>
  <c r="P147" i="1"/>
  <c r="P146" i="1"/>
  <c r="P145" i="1"/>
  <c r="P142" i="1"/>
  <c r="P141" i="1"/>
  <c r="P140" i="1"/>
  <c r="P139" i="1"/>
  <c r="P138" i="1"/>
  <c r="P137" i="1"/>
  <c r="P136" i="1"/>
  <c r="P135" i="1"/>
  <c r="P134" i="1"/>
  <c r="P133" i="1"/>
  <c r="P131" i="1"/>
  <c r="P130" i="1"/>
  <c r="P129" i="1"/>
  <c r="P128" i="1"/>
  <c r="P127" i="1"/>
  <c r="P126" i="1"/>
  <c r="P125" i="1"/>
  <c r="P124" i="1"/>
  <c r="P123" i="1"/>
  <c r="P122" i="1"/>
  <c r="P119" i="1"/>
  <c r="P118" i="1"/>
  <c r="P117" i="1"/>
  <c r="P116" i="1"/>
  <c r="P115" i="1"/>
  <c r="P114" i="1"/>
  <c r="P112" i="1"/>
  <c r="P111" i="1"/>
  <c r="P110" i="1"/>
  <c r="P109" i="1"/>
  <c r="P108" i="1"/>
  <c r="P107" i="1"/>
  <c r="P106" i="1"/>
  <c r="P105" i="1"/>
  <c r="P104" i="1"/>
  <c r="P102" i="1"/>
  <c r="P99" i="1"/>
  <c r="P98" i="1"/>
  <c r="P96" i="1"/>
  <c r="P95" i="1"/>
  <c r="P94" i="1"/>
  <c r="P92" i="1"/>
  <c r="P88" i="1"/>
  <c r="P86" i="1"/>
  <c r="P85" i="1"/>
  <c r="P83" i="1"/>
  <c r="P82" i="1"/>
  <c r="P81" i="1"/>
  <c r="P79" i="1"/>
  <c r="P77" i="1"/>
  <c r="P76" i="1"/>
  <c r="P75" i="1"/>
  <c r="P74" i="1"/>
  <c r="P71" i="1"/>
  <c r="P69" i="1"/>
  <c r="P67" i="1"/>
  <c r="P64" i="1"/>
  <c r="P63" i="1"/>
  <c r="P60" i="1"/>
  <c r="P59" i="1"/>
  <c r="P58" i="1"/>
  <c r="P57" i="1"/>
  <c r="P55" i="1"/>
  <c r="P53" i="1"/>
  <c r="P49" i="1"/>
  <c r="P48" i="1"/>
  <c r="P47" i="1"/>
  <c r="P46" i="1"/>
  <c r="P45" i="1"/>
  <c r="P43" i="1"/>
  <c r="P42" i="1"/>
  <c r="P41" i="1"/>
  <c r="P39" i="1"/>
  <c r="P37" i="1"/>
  <c r="P36" i="1"/>
  <c r="P34" i="1"/>
  <c r="P33" i="1"/>
  <c r="P32" i="1"/>
  <c r="P31" i="1"/>
  <c r="P29" i="1"/>
  <c r="P28" i="1"/>
  <c r="P27" i="1"/>
  <c r="P26" i="1"/>
  <c r="P24" i="1"/>
  <c r="P23" i="1"/>
  <c r="P22" i="1"/>
  <c r="P21" i="1"/>
  <c r="P20" i="1"/>
  <c r="P19" i="1"/>
  <c r="P18" i="1"/>
  <c r="P17" i="1"/>
  <c r="P16" i="1"/>
  <c r="P15" i="1"/>
  <c r="P14" i="1"/>
  <c r="P13" i="1"/>
  <c r="P11" i="1"/>
  <c r="P9" i="1"/>
  <c r="P8" i="1"/>
  <c r="P7" i="1"/>
  <c r="P6" i="1"/>
  <c r="P5" i="1"/>
  <c r="P4" i="1"/>
  <c r="P3" i="1"/>
  <c r="P2" i="1"/>
  <c r="K53" i="1"/>
  <c r="K183" i="1"/>
  <c r="K182" i="1"/>
  <c r="K178" i="1"/>
  <c r="K176" i="1"/>
  <c r="K174" i="1"/>
  <c r="K173" i="1"/>
  <c r="K172" i="1"/>
  <c r="K171" i="1"/>
  <c r="K170" i="1"/>
  <c r="K167" i="1"/>
  <c r="K165" i="1"/>
  <c r="K164" i="1"/>
  <c r="K163" i="1"/>
  <c r="K161" i="1"/>
  <c r="K159" i="1"/>
  <c r="K154" i="1"/>
  <c r="K153" i="1"/>
  <c r="K152" i="1"/>
  <c r="K151" i="1"/>
  <c r="K150" i="1"/>
  <c r="K149" i="1"/>
  <c r="K147" i="1"/>
  <c r="K146" i="1"/>
  <c r="K145" i="1"/>
  <c r="K142" i="1"/>
  <c r="K141" i="1"/>
  <c r="K140" i="1"/>
  <c r="K139" i="1"/>
  <c r="K137" i="1"/>
  <c r="K136" i="1"/>
  <c r="K135" i="1"/>
  <c r="K134" i="1"/>
  <c r="K133" i="1"/>
  <c r="K131" i="1"/>
  <c r="K130" i="1"/>
  <c r="K129" i="1"/>
  <c r="K128" i="1"/>
  <c r="K126" i="1"/>
  <c r="K125" i="1"/>
  <c r="K124" i="1"/>
  <c r="K123" i="1"/>
  <c r="K122" i="1"/>
  <c r="K119" i="1"/>
  <c r="K118" i="1"/>
  <c r="K117" i="1"/>
  <c r="K116" i="1"/>
  <c r="K115" i="1"/>
  <c r="K114" i="1"/>
  <c r="K112" i="1"/>
  <c r="K111" i="1"/>
  <c r="K110" i="1"/>
  <c r="K109" i="1"/>
  <c r="K108" i="1"/>
  <c r="K107" i="1"/>
  <c r="K106" i="1"/>
  <c r="K105" i="1"/>
  <c r="K104" i="1"/>
  <c r="K102" i="1"/>
  <c r="K99" i="1"/>
  <c r="K98" i="1"/>
  <c r="K96" i="1"/>
  <c r="K95" i="1"/>
  <c r="K94" i="1"/>
  <c r="K92" i="1"/>
  <c r="K88" i="1"/>
  <c r="K86" i="1"/>
  <c r="K85" i="1"/>
  <c r="K83" i="1"/>
  <c r="K82" i="1"/>
  <c r="K81" i="1"/>
  <c r="K79" i="1"/>
  <c r="K77" i="1"/>
  <c r="K76" i="1"/>
  <c r="K75" i="1"/>
  <c r="K74" i="1"/>
  <c r="K71" i="1"/>
  <c r="K69" i="1"/>
  <c r="K67" i="1"/>
  <c r="K64" i="1"/>
  <c r="K63" i="1"/>
  <c r="K60" i="1"/>
  <c r="K59" i="1"/>
  <c r="K58" i="1"/>
  <c r="K57" i="1"/>
  <c r="K55" i="1"/>
  <c r="K49" i="1"/>
  <c r="K48" i="1"/>
  <c r="K47" i="1"/>
  <c r="K46" i="1"/>
  <c r="K45" i="1"/>
  <c r="K43" i="1"/>
  <c r="K42" i="1"/>
  <c r="K41" i="1"/>
  <c r="K39" i="1"/>
  <c r="K36" i="1"/>
  <c r="K34" i="1"/>
  <c r="K33" i="1"/>
  <c r="K32" i="1"/>
  <c r="K31" i="1"/>
  <c r="K29" i="1"/>
  <c r="K27" i="1"/>
  <c r="K26" i="1"/>
  <c r="K24" i="1"/>
  <c r="K23" i="1"/>
  <c r="K21" i="1"/>
  <c r="K20" i="1"/>
  <c r="K19" i="1"/>
  <c r="K18" i="1"/>
  <c r="K17" i="1"/>
  <c r="K16" i="1"/>
  <c r="K15" i="1"/>
  <c r="K13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<sst xmlns="http://schemas.openxmlformats.org/spreadsheetml/2006/main" count="967" uniqueCount="222">
  <si>
    <t>Station Name</t>
  </si>
  <si>
    <t>Year</t>
  </si>
  <si>
    <t>Monitoring_begins</t>
  </si>
  <si>
    <t>Monitoring_ends</t>
  </si>
  <si>
    <t>Used</t>
  </si>
  <si>
    <t>Species</t>
  </si>
  <si>
    <t>Outcome</t>
  </si>
  <si>
    <t>N_eggs</t>
  </si>
  <si>
    <t>N_chicks</t>
  </si>
  <si>
    <t>N_fledged</t>
  </si>
  <si>
    <t>M_Band</t>
  </si>
  <si>
    <t>F_Band</t>
  </si>
  <si>
    <t>M_age</t>
  </si>
  <si>
    <t>F_age</t>
  </si>
  <si>
    <t>1st_egg_date</t>
  </si>
  <si>
    <t>Hatch_Date</t>
  </si>
  <si>
    <t>Fledge_Date</t>
  </si>
  <si>
    <t>Notes</t>
  </si>
  <si>
    <t>AHY</t>
  </si>
  <si>
    <t>Y</t>
  </si>
  <si>
    <t>ASY</t>
  </si>
  <si>
    <t>N</t>
  </si>
  <si>
    <t>Aquaculture - 1</t>
  </si>
  <si>
    <t>PROW</t>
  </si>
  <si>
    <t>FLEDGED</t>
  </si>
  <si>
    <t>SY</t>
  </si>
  <si>
    <t>Aquaculture - 2</t>
  </si>
  <si>
    <t>CARW</t>
  </si>
  <si>
    <t>UNK</t>
  </si>
  <si>
    <t>4Y</t>
  </si>
  <si>
    <t>Aquaculture - 3</t>
  </si>
  <si>
    <t>Aquaculture - 4</t>
  </si>
  <si>
    <t>Aquaculture - 5</t>
  </si>
  <si>
    <t>Aquaculture - 6</t>
  </si>
  <si>
    <t>Ben Hur - 1</t>
  </si>
  <si>
    <t>Ben Hur - 10</t>
  </si>
  <si>
    <t>3Y</t>
  </si>
  <si>
    <t>Ben Hur - 11</t>
  </si>
  <si>
    <t>ATY</t>
  </si>
  <si>
    <t>Ben Hur - 12</t>
  </si>
  <si>
    <t>Ben Hur - 13</t>
  </si>
  <si>
    <t>Ben Hur - 14</t>
  </si>
  <si>
    <t>NO</t>
  </si>
  <si>
    <t>3 FCAL FROM 16 JUNE, 2 SAMPLES FROM 19 JUNE</t>
  </si>
  <si>
    <t>Ben Hur - 15</t>
  </si>
  <si>
    <t>Ben Hur - 16</t>
  </si>
  <si>
    <t>Ben Hur - 2</t>
  </si>
  <si>
    <t>Ben Hur - 3</t>
  </si>
  <si>
    <t>Ben Hur - 4</t>
  </si>
  <si>
    <t>y</t>
  </si>
  <si>
    <t>Ben Hur - 5</t>
  </si>
  <si>
    <t xml:space="preserve">Most likely flying squirrel </t>
  </si>
  <si>
    <t>Ben Hur - 6</t>
  </si>
  <si>
    <t>Ben Hur - 7</t>
  </si>
  <si>
    <t xml:space="preserve"> </t>
  </si>
  <si>
    <t>Ben Hur - 8</t>
  </si>
  <si>
    <t>Ben Hur - 9</t>
  </si>
  <si>
    <t>Ben Hur - 17</t>
  </si>
  <si>
    <t>Blackwater - 1</t>
  </si>
  <si>
    <t>1 FECAL 07 MAY, 2 11 MAY</t>
  </si>
  <si>
    <t xml:space="preserve">POSSIBLE ABANDONMENT AFTER BANDING </t>
  </si>
  <si>
    <t>Blackwater - 10</t>
  </si>
  <si>
    <t>Blackwater - 11</t>
  </si>
  <si>
    <t>A4Y</t>
  </si>
  <si>
    <t>Blackwater - 12</t>
  </si>
  <si>
    <t>Blackwater - 13</t>
  </si>
  <si>
    <t xml:space="preserve">Possible take over. New neat on top of old eggs </t>
  </si>
  <si>
    <t>Blackwater - 14</t>
  </si>
  <si>
    <t>Blackwater - 15</t>
  </si>
  <si>
    <t>Blackwater - 16*</t>
  </si>
  <si>
    <t>Blackwater - 2</t>
  </si>
  <si>
    <t xml:space="preserve">Male double brooding with female from box 3 </t>
  </si>
  <si>
    <t>Blackwater - 3</t>
  </si>
  <si>
    <t>Male double brooding with female at nest 2</t>
  </si>
  <si>
    <t>Blackwater - 4</t>
  </si>
  <si>
    <t>Blackwater - 5</t>
  </si>
  <si>
    <t>Blackwater - 6</t>
  </si>
  <si>
    <t>Blackwater - 7</t>
  </si>
  <si>
    <t>Blackwater - 8</t>
  </si>
  <si>
    <t>Blackwater - 9</t>
  </si>
  <si>
    <t>Bluebonnet Swamp - 1</t>
  </si>
  <si>
    <t>Bluebonnet Swamp - 11</t>
  </si>
  <si>
    <t>A5Y</t>
  </si>
  <si>
    <t>Bluebonnet Swamp - 11A</t>
  </si>
  <si>
    <t>A3Y</t>
  </si>
  <si>
    <t>Flying Squirrels</t>
  </si>
  <si>
    <t>Bluebonnet Swamp - 12</t>
  </si>
  <si>
    <t>Bluebonnet Swamp - 14</t>
  </si>
  <si>
    <t>Bluebonnet Swamp - 16</t>
  </si>
  <si>
    <t>Bluebonnet Swamp - 18</t>
  </si>
  <si>
    <t>Bluebonnet Swamp - 2</t>
  </si>
  <si>
    <t>Bluebonnet Swamp - 21</t>
  </si>
  <si>
    <t>Bluebonnet Swamp - 22</t>
  </si>
  <si>
    <t>Bluebonnet Swamp - 3A</t>
  </si>
  <si>
    <t>Bluebonnet Swamp - 3B</t>
  </si>
  <si>
    <t>Bluebonnet Swamp - 4</t>
  </si>
  <si>
    <t>X:KW</t>
  </si>
  <si>
    <t>time table for this nest is super weird</t>
  </si>
  <si>
    <t>Bluebonnet Swamp - 6</t>
  </si>
  <si>
    <t>Bluebonnet Swamp - 9</t>
  </si>
  <si>
    <t>Burbank Soccer - 1</t>
  </si>
  <si>
    <t>Burbank Soccer - 10</t>
  </si>
  <si>
    <t>Burbank Soccer - 11</t>
  </si>
  <si>
    <t>Burbank Soccer - 12</t>
  </si>
  <si>
    <t xml:space="preserve">Burbank Soccer - 13 </t>
  </si>
  <si>
    <t>Burbank Soccer - 14</t>
  </si>
  <si>
    <t>Burbank Soccer - 15</t>
  </si>
  <si>
    <t>Burbank Soccer - 2</t>
  </si>
  <si>
    <t xml:space="preserve">Nestlings dead for days. Nest covered in maggots only found feathers and legs of nestlings all else gone </t>
  </si>
  <si>
    <t>Burbank Soccer - 3</t>
  </si>
  <si>
    <t>Burbank Soccer - 4</t>
  </si>
  <si>
    <t>UNKNOWN</t>
  </si>
  <si>
    <t>likely abandoned; all three bands accounted for in nest; nestlings were visibly long dead: mostly just bones left, maggots</t>
  </si>
  <si>
    <t>Burbank Soccer - 5</t>
  </si>
  <si>
    <t>Burbank Soccer - 6</t>
  </si>
  <si>
    <t>Burbank Soccer - 7</t>
  </si>
  <si>
    <t>Burbank Soccer - 8</t>
  </si>
  <si>
    <t>Burbank Soccer - 9</t>
  </si>
  <si>
    <t>Farr Park - 1</t>
  </si>
  <si>
    <t>Farr Park - 10</t>
  </si>
  <si>
    <t>FIST EGG LAID ON 01-JUNE ONLY 2 EGGS ON 04-JUNE</t>
  </si>
  <si>
    <t>Farr Park - 11</t>
  </si>
  <si>
    <t>Farr Park - 12</t>
  </si>
  <si>
    <t>Farr Park - 13</t>
  </si>
  <si>
    <t>Farr Park - 2</t>
  </si>
  <si>
    <t>Farr Park - 4</t>
  </si>
  <si>
    <t>Farr Park - 5</t>
  </si>
  <si>
    <t>Farr Park - 6</t>
  </si>
  <si>
    <t>Farr Park - 7</t>
  </si>
  <si>
    <t xml:space="preserve">Farr Park - 8 </t>
  </si>
  <si>
    <t>Farr Park - 9</t>
  </si>
  <si>
    <t>Frenchtown - 1</t>
  </si>
  <si>
    <t>Barred Owl in the area very active may have killed a parent or scared them off</t>
  </si>
  <si>
    <t>Frenchtown - 10</t>
  </si>
  <si>
    <t>Frenchtown - 11</t>
  </si>
  <si>
    <t>Frenchtown - 12</t>
  </si>
  <si>
    <t>Frenchtown - 13</t>
  </si>
  <si>
    <t>Frenchtown - 14</t>
  </si>
  <si>
    <t>Frenchtown - 15</t>
  </si>
  <si>
    <t>Flying Squirrel</t>
  </si>
  <si>
    <t>Frenchtown - 16</t>
  </si>
  <si>
    <t>Frenchtown - 17</t>
  </si>
  <si>
    <t>Frenchtown - 18</t>
  </si>
  <si>
    <t xml:space="preserve">Nest may have been flooded during storm leading to mother abandoning after egg were no longer viable. Female was observed on egged for the following visit but not after that. </t>
  </si>
  <si>
    <t>Frenchtown - 2</t>
  </si>
  <si>
    <t xml:space="preserve">Maybe the storm may have been abandoned before though </t>
  </si>
  <si>
    <t>Frenchtown - 3</t>
  </si>
  <si>
    <t>WG:X</t>
  </si>
  <si>
    <t>Frenchtown - 4</t>
  </si>
  <si>
    <t>Frenchtown - 5</t>
  </si>
  <si>
    <t>Frenchtown - 6</t>
  </si>
  <si>
    <t>Frenchtown - 7</t>
  </si>
  <si>
    <t>Frenchtown - 8.5</t>
  </si>
  <si>
    <t>Chicks were dead in a pile typical of them huddling for warmth. Maybe the mother died in the storm and couldn’t warm them. Dad survived to make a new nest with a different mom.</t>
  </si>
  <si>
    <t>Frenchtown - 9</t>
  </si>
  <si>
    <t xml:space="preserve">This is probably my fault and thought the eggs were bad from a storm or something. </t>
  </si>
  <si>
    <t>Pennington - 1</t>
  </si>
  <si>
    <t>Pennington - 2</t>
  </si>
  <si>
    <t>Pennington - 3</t>
  </si>
  <si>
    <t>Tree parts fell on box knocking it off the pole</t>
  </si>
  <si>
    <t>Pennington - 4</t>
  </si>
  <si>
    <t>Pennington - 5</t>
  </si>
  <si>
    <t>Pennington - 6</t>
  </si>
  <si>
    <t>Reproductive Biology - 1</t>
  </si>
  <si>
    <t>Reproductive Biology - 10*</t>
  </si>
  <si>
    <t>Reproductive Biology - 11*</t>
  </si>
  <si>
    <t>50/50 take-over or abandonment followed by new nest</t>
  </si>
  <si>
    <t>Reproductive Biology - 12*</t>
  </si>
  <si>
    <t>Reproductive Biology - 13*</t>
  </si>
  <si>
    <t>Reproductive Biology - 14*</t>
  </si>
  <si>
    <t>Reproductive Biology - 2</t>
  </si>
  <si>
    <t>Reproductive Biology - 3*</t>
  </si>
  <si>
    <t>Reproductive Biology - 4*</t>
  </si>
  <si>
    <t>Reproductive Biology - 5*</t>
  </si>
  <si>
    <t>Reproductive Biology - 6*</t>
  </si>
  <si>
    <t>Reproductive Biology - 7*</t>
  </si>
  <si>
    <t xml:space="preserve">nest covered in ants. May have lead to abandonment </t>
  </si>
  <si>
    <t>Reproductive Biology - 8*</t>
  </si>
  <si>
    <t>Reproductive Biology - 9*</t>
  </si>
  <si>
    <t>Riverbend - 1</t>
  </si>
  <si>
    <t>Riverbend - 2</t>
  </si>
  <si>
    <t>Riverbend - 3</t>
  </si>
  <si>
    <t>Riverbend - 4</t>
  </si>
  <si>
    <t>Riverbend - 5</t>
  </si>
  <si>
    <t>CACH</t>
  </si>
  <si>
    <t>Riverbend - 6</t>
  </si>
  <si>
    <t>Riverbend - 7</t>
  </si>
  <si>
    <t>Riverbend - 8</t>
  </si>
  <si>
    <t>Wilbert Forest - 28</t>
  </si>
  <si>
    <t>Wilbert Forest - 29</t>
  </si>
  <si>
    <t>Tree fell on box</t>
  </si>
  <si>
    <t>Wilbert Forest - 31</t>
  </si>
  <si>
    <t>Wilbert Forest - 36</t>
  </si>
  <si>
    <t>Wilbert Forest - 37</t>
  </si>
  <si>
    <t>Wilbert Forest - 47</t>
  </si>
  <si>
    <t>Raccoon?</t>
  </si>
  <si>
    <t>Wilbert Forest - 48</t>
  </si>
  <si>
    <t>Wilbert Forest - 49</t>
  </si>
  <si>
    <t>Wilbert Forest - 51</t>
  </si>
  <si>
    <t>Wray - 1</t>
  </si>
  <si>
    <t>Wray - 10</t>
  </si>
  <si>
    <t>Wray - 11</t>
  </si>
  <si>
    <t>Wray - 12</t>
  </si>
  <si>
    <t>Raccoon</t>
  </si>
  <si>
    <t>Wray - 13</t>
  </si>
  <si>
    <t>Wray - 2</t>
  </si>
  <si>
    <t>Wray - 3</t>
  </si>
  <si>
    <t>Wray - 4</t>
  </si>
  <si>
    <t>Wray - 5</t>
  </si>
  <si>
    <t>Wray - 6</t>
  </si>
  <si>
    <t>Wray - 7</t>
  </si>
  <si>
    <t>Wray - 8</t>
  </si>
  <si>
    <t>Wray - 9</t>
  </si>
  <si>
    <t>FAILED (PREDATOR)</t>
  </si>
  <si>
    <t>FAILED (ABANDONED)</t>
  </si>
  <si>
    <t>FAILED (FLOODED)</t>
  </si>
  <si>
    <t>FAILED (TAKEOVER)</t>
  </si>
  <si>
    <t>FAILED (TREEFALL)</t>
  </si>
  <si>
    <t>FAILED (UNKNOWN CAUSE)</t>
  </si>
  <si>
    <t>OTHER</t>
  </si>
  <si>
    <t>Pct_Fledged</t>
  </si>
  <si>
    <t>Init_Month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</si>
</sst>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6950-5B73-4221-8077-F552165D2A32}">
  <dimension ref="A1:T188"/>
  <sheetViews>
    <sheetView tabSelected="1" workbookViewId="0">
      <selection activeCell="M9" sqref="M9"/>
    </sheetView>
  </sheetViews>
  <sheetFormatPr defaultRowHeight="14.4" x14ac:dyDescent="0.3"/>
  <cols>
    <col min="1" max="1" width="22.21875" bestFit="1" customWidth="1"/>
    <col min="2" max="2" width="5" bestFit="1" customWidth="1"/>
    <col min="3" max="3" width="15.5546875" bestFit="1" customWidth="1"/>
    <col min="4" max="4" width="14.21875" bestFit="1" customWidth="1"/>
    <col min="5" max="5" width="5.109375" bestFit="1" customWidth="1"/>
    <col min="6" max="6" width="7.33203125" bestFit="1" customWidth="1"/>
    <col min="7" max="7" width="23.5546875" bestFit="1" customWidth="1"/>
    <col min="8" max="8" width="6.77734375" bestFit="1" customWidth="1"/>
    <col min="9" max="9" width="8.33203125" bestFit="1" customWidth="1"/>
    <col min="10" max="10" width="9" bestFit="1" customWidth="1"/>
    <col min="11" max="11" width="12" bestFit="1" customWidth="1"/>
    <col min="12" max="13" width="10" bestFit="1" customWidth="1"/>
    <col min="14" max="14" width="6.109375" bestFit="1" customWidth="1"/>
    <col min="15" max="15" width="5.6640625" bestFit="1" customWidth="1"/>
    <col min="16" max="16" width="9.21875" bestFit="1" customWidth="1"/>
    <col min="17" max="17" width="11.33203125" bestFit="1" customWidth="1"/>
    <col min="18" max="18" width="10.44140625" bestFit="1" customWidth="1"/>
    <col min="19" max="19" width="10.88671875" bestFit="1" customWidth="1"/>
    <col min="20" max="20" width="46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220</v>
      </c>
      <c r="L1" t="s">
        <v>10</v>
      </c>
      <c r="M1" t="s">
        <v>11</v>
      </c>
      <c r="N1" t="s">
        <v>12</v>
      </c>
      <c r="O1" t="s">
        <v>13</v>
      </c>
      <c r="P1" t="s">
        <v>221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">
      <c r="A2" t="s">
        <v>22</v>
      </c>
      <c r="B2">
        <v>2026</v>
      </c>
      <c r="C2" s="1">
        <v>46082</v>
      </c>
      <c r="D2" s="1">
        <v>46224</v>
      </c>
      <c r="E2" t="s">
        <v>19</v>
      </c>
      <c r="F2" t="s">
        <v>23</v>
      </c>
      <c r="G2" t="s">
        <v>24</v>
      </c>
      <c r="H2">
        <v>4</v>
      </c>
      <c r="I2">
        <v>4</v>
      </c>
      <c r="J2">
        <v>4</v>
      </c>
      <c r="K2">
        <f>J2/H2</f>
        <v>1</v>
      </c>
      <c r="L2">
        <v>304047385</v>
      </c>
      <c r="M2">
        <v>304047384</v>
      </c>
      <c r="N2" t="s">
        <v>20</v>
      </c>
      <c r="O2" t="s">
        <v>25</v>
      </c>
      <c r="P2">
        <f>MONTH(Q2)</f>
        <v>6</v>
      </c>
      <c r="Q2" s="1">
        <v>46181</v>
      </c>
      <c r="R2" s="1">
        <v>46194</v>
      </c>
      <c r="S2" s="1">
        <v>46204</v>
      </c>
    </row>
    <row r="3" spans="1:20" x14ac:dyDescent="0.3">
      <c r="A3" t="s">
        <v>26</v>
      </c>
      <c r="B3">
        <v>2026</v>
      </c>
      <c r="C3" s="1">
        <v>46082</v>
      </c>
      <c r="D3" s="1">
        <v>46224</v>
      </c>
      <c r="E3" t="s">
        <v>19</v>
      </c>
      <c r="F3" t="s">
        <v>27</v>
      </c>
      <c r="G3" t="s">
        <v>24</v>
      </c>
      <c r="H3">
        <v>5</v>
      </c>
      <c r="I3">
        <v>5</v>
      </c>
      <c r="J3">
        <v>5</v>
      </c>
      <c r="K3">
        <f t="shared" ref="K3:K9" si="0">J3/H3</f>
        <v>1</v>
      </c>
      <c r="L3" t="s">
        <v>28</v>
      </c>
      <c r="M3" t="s">
        <v>28</v>
      </c>
      <c r="N3" t="s">
        <v>18</v>
      </c>
      <c r="O3" t="s">
        <v>18</v>
      </c>
      <c r="P3">
        <f t="shared" ref="P3:P9" si="1">MONTH(Q3)</f>
        <v>3</v>
      </c>
      <c r="Q3" s="1">
        <v>46107</v>
      </c>
      <c r="R3" s="1">
        <v>46127</v>
      </c>
      <c r="S3" s="1">
        <v>46141</v>
      </c>
    </row>
    <row r="4" spans="1:20" x14ac:dyDescent="0.3">
      <c r="A4" t="s">
        <v>26</v>
      </c>
      <c r="B4">
        <v>2026</v>
      </c>
      <c r="C4" s="1">
        <v>46082</v>
      </c>
      <c r="D4" s="1">
        <v>46224</v>
      </c>
      <c r="E4" t="s">
        <v>19</v>
      </c>
      <c r="F4" t="s">
        <v>27</v>
      </c>
      <c r="G4" t="s">
        <v>213</v>
      </c>
      <c r="H4">
        <v>2</v>
      </c>
      <c r="J4">
        <v>0</v>
      </c>
      <c r="K4">
        <f t="shared" si="0"/>
        <v>0</v>
      </c>
      <c r="N4" t="s">
        <v>18</v>
      </c>
      <c r="O4" t="s">
        <v>18</v>
      </c>
      <c r="P4">
        <f t="shared" si="1"/>
        <v>6</v>
      </c>
      <c r="Q4" s="1">
        <v>46202</v>
      </c>
      <c r="R4" s="1"/>
      <c r="S4" s="1"/>
    </row>
    <row r="5" spans="1:20" x14ac:dyDescent="0.3">
      <c r="A5" t="s">
        <v>26</v>
      </c>
      <c r="B5">
        <v>2026</v>
      </c>
      <c r="C5" s="1">
        <v>46082</v>
      </c>
      <c r="D5" s="1">
        <v>46224</v>
      </c>
      <c r="E5" t="s">
        <v>19</v>
      </c>
      <c r="F5" t="s">
        <v>23</v>
      </c>
      <c r="G5" t="s">
        <v>24</v>
      </c>
      <c r="H5">
        <v>3</v>
      </c>
      <c r="I5">
        <v>3</v>
      </c>
      <c r="J5">
        <v>3</v>
      </c>
      <c r="K5">
        <f t="shared" si="0"/>
        <v>1</v>
      </c>
      <c r="L5">
        <v>304047307</v>
      </c>
      <c r="M5">
        <v>304046818</v>
      </c>
      <c r="N5" t="s">
        <v>20</v>
      </c>
      <c r="O5" t="s">
        <v>29</v>
      </c>
      <c r="P5">
        <f t="shared" si="1"/>
        <v>5</v>
      </c>
      <c r="Q5" s="1">
        <v>46152</v>
      </c>
      <c r="R5" s="1">
        <v>46166</v>
      </c>
      <c r="S5" s="1">
        <v>46145</v>
      </c>
    </row>
    <row r="6" spans="1:20" x14ac:dyDescent="0.3">
      <c r="A6" t="s">
        <v>30</v>
      </c>
      <c r="B6">
        <v>2026</v>
      </c>
      <c r="C6" s="1">
        <v>46082</v>
      </c>
      <c r="D6" s="1">
        <v>46244</v>
      </c>
      <c r="E6" t="s">
        <v>19</v>
      </c>
      <c r="F6" t="s">
        <v>27</v>
      </c>
      <c r="G6" t="s">
        <v>24</v>
      </c>
      <c r="H6">
        <v>5</v>
      </c>
      <c r="I6">
        <v>5</v>
      </c>
      <c r="J6">
        <v>2</v>
      </c>
      <c r="K6">
        <f t="shared" si="0"/>
        <v>0.4</v>
      </c>
      <c r="L6" t="s">
        <v>28</v>
      </c>
      <c r="M6" t="s">
        <v>28</v>
      </c>
      <c r="N6" t="s">
        <v>18</v>
      </c>
      <c r="O6" t="s">
        <v>18</v>
      </c>
      <c r="P6">
        <f t="shared" si="1"/>
        <v>4</v>
      </c>
      <c r="Q6" s="1">
        <v>46118</v>
      </c>
      <c r="R6" s="1">
        <v>46135</v>
      </c>
      <c r="S6" s="1">
        <v>46148</v>
      </c>
    </row>
    <row r="7" spans="1:20" x14ac:dyDescent="0.3">
      <c r="A7" t="s">
        <v>30</v>
      </c>
      <c r="B7">
        <v>2026</v>
      </c>
      <c r="C7" s="1">
        <v>46082</v>
      </c>
      <c r="D7" s="1">
        <v>46244</v>
      </c>
      <c r="E7" t="s">
        <v>19</v>
      </c>
      <c r="F7" t="s">
        <v>27</v>
      </c>
      <c r="G7" t="s">
        <v>24</v>
      </c>
      <c r="H7">
        <v>4</v>
      </c>
      <c r="I7">
        <v>4</v>
      </c>
      <c r="J7">
        <v>4</v>
      </c>
      <c r="K7">
        <f t="shared" si="0"/>
        <v>1</v>
      </c>
      <c r="L7" t="s">
        <v>28</v>
      </c>
      <c r="M7" t="s">
        <v>28</v>
      </c>
      <c r="N7" t="s">
        <v>18</v>
      </c>
      <c r="O7" t="s">
        <v>18</v>
      </c>
      <c r="P7">
        <f t="shared" si="1"/>
        <v>7</v>
      </c>
      <c r="Q7" s="1">
        <v>46212</v>
      </c>
      <c r="R7" s="1">
        <v>46228</v>
      </c>
      <c r="S7" s="1">
        <v>46240</v>
      </c>
    </row>
    <row r="8" spans="1:20" x14ac:dyDescent="0.3">
      <c r="A8" t="s">
        <v>31</v>
      </c>
      <c r="B8">
        <v>2026</v>
      </c>
      <c r="C8" s="1">
        <v>46082</v>
      </c>
      <c r="D8" s="1">
        <v>46224</v>
      </c>
      <c r="E8" t="s">
        <v>19</v>
      </c>
      <c r="F8" t="s">
        <v>23</v>
      </c>
      <c r="G8" t="s">
        <v>24</v>
      </c>
      <c r="H8">
        <v>5</v>
      </c>
      <c r="I8">
        <v>5</v>
      </c>
      <c r="J8">
        <v>4</v>
      </c>
      <c r="K8">
        <f t="shared" si="0"/>
        <v>0.8</v>
      </c>
      <c r="M8">
        <v>304047115</v>
      </c>
      <c r="N8" t="s">
        <v>18</v>
      </c>
      <c r="O8" t="s">
        <v>25</v>
      </c>
      <c r="P8">
        <f t="shared" si="1"/>
        <v>4</v>
      </c>
      <c r="Q8" s="1">
        <v>46126</v>
      </c>
      <c r="R8" s="1">
        <v>46143</v>
      </c>
      <c r="S8" s="1">
        <v>46154</v>
      </c>
    </row>
    <row r="9" spans="1:20" x14ac:dyDescent="0.3">
      <c r="A9" t="s">
        <v>31</v>
      </c>
      <c r="B9">
        <v>2026</v>
      </c>
      <c r="C9" s="1">
        <v>46082</v>
      </c>
      <c r="D9" s="1">
        <v>46224</v>
      </c>
      <c r="E9" t="s">
        <v>19</v>
      </c>
      <c r="F9" t="s">
        <v>23</v>
      </c>
      <c r="G9" t="s">
        <v>24</v>
      </c>
      <c r="H9">
        <v>4</v>
      </c>
      <c r="I9">
        <v>3</v>
      </c>
      <c r="J9">
        <v>3</v>
      </c>
      <c r="K9">
        <f t="shared" si="0"/>
        <v>0.75</v>
      </c>
      <c r="M9">
        <v>304047115</v>
      </c>
      <c r="N9" t="s">
        <v>18</v>
      </c>
      <c r="O9" t="s">
        <v>25</v>
      </c>
      <c r="P9">
        <f t="shared" si="1"/>
        <v>5</v>
      </c>
      <c r="Q9" s="1">
        <v>46166</v>
      </c>
      <c r="R9" s="1">
        <v>46178</v>
      </c>
      <c r="S9" s="1">
        <v>46158</v>
      </c>
    </row>
    <row r="10" spans="1:20" x14ac:dyDescent="0.3">
      <c r="A10" t="s">
        <v>32</v>
      </c>
      <c r="B10">
        <v>2026</v>
      </c>
      <c r="C10" s="1">
        <v>46082</v>
      </c>
      <c r="D10" s="1">
        <v>46224</v>
      </c>
      <c r="E10" t="s">
        <v>21</v>
      </c>
      <c r="Q10" s="1"/>
      <c r="R10" s="1"/>
      <c r="S10" s="1"/>
    </row>
    <row r="11" spans="1:20" x14ac:dyDescent="0.3">
      <c r="A11" t="s">
        <v>33</v>
      </c>
      <c r="B11">
        <v>2026</v>
      </c>
      <c r="C11" s="1">
        <v>46082</v>
      </c>
      <c r="D11" s="1">
        <v>46224</v>
      </c>
      <c r="E11" t="s">
        <v>19</v>
      </c>
      <c r="F11" t="s">
        <v>27</v>
      </c>
      <c r="G11" t="s">
        <v>218</v>
      </c>
      <c r="I11">
        <v>0</v>
      </c>
      <c r="J11">
        <v>0</v>
      </c>
      <c r="N11" t="s">
        <v>18</v>
      </c>
      <c r="O11" t="s">
        <v>18</v>
      </c>
      <c r="P11">
        <f>MONTH(Q11)</f>
        <v>5</v>
      </c>
      <c r="Q11" s="1">
        <v>46167</v>
      </c>
      <c r="R11" s="1"/>
      <c r="S11" s="1"/>
    </row>
    <row r="12" spans="1:20" x14ac:dyDescent="0.3">
      <c r="A12" t="s">
        <v>34</v>
      </c>
      <c r="B12">
        <v>2026</v>
      </c>
      <c r="C12" s="1">
        <v>46082</v>
      </c>
      <c r="D12" s="1">
        <v>46237</v>
      </c>
      <c r="E12" t="s">
        <v>21</v>
      </c>
      <c r="Q12" s="1"/>
      <c r="R12" s="1"/>
      <c r="S12" s="1"/>
    </row>
    <row r="13" spans="1:20" x14ac:dyDescent="0.3">
      <c r="A13" t="s">
        <v>35</v>
      </c>
      <c r="B13">
        <v>2026</v>
      </c>
      <c r="C13" s="1">
        <v>46082</v>
      </c>
      <c r="D13" s="1">
        <v>46237</v>
      </c>
      <c r="E13" t="s">
        <v>19</v>
      </c>
      <c r="F13" t="s">
        <v>23</v>
      </c>
      <c r="G13" t="s">
        <v>24</v>
      </c>
      <c r="H13">
        <v>5</v>
      </c>
      <c r="I13">
        <v>5</v>
      </c>
      <c r="J13">
        <v>3</v>
      </c>
      <c r="K13">
        <f t="shared" ref="K13:K24" si="2">J13/H13</f>
        <v>0.6</v>
      </c>
      <c r="L13">
        <v>304046035</v>
      </c>
      <c r="M13">
        <v>304046857</v>
      </c>
      <c r="N13" t="s">
        <v>20</v>
      </c>
      <c r="O13" t="s">
        <v>36</v>
      </c>
      <c r="P13">
        <f t="shared" ref="P13:P24" si="3">MONTH(Q13)</f>
        <v>4</v>
      </c>
      <c r="Q13" s="1">
        <v>46132</v>
      </c>
      <c r="R13" s="1">
        <v>46118</v>
      </c>
      <c r="S13" s="1">
        <v>46161</v>
      </c>
    </row>
    <row r="14" spans="1:20" x14ac:dyDescent="0.3">
      <c r="A14" t="s">
        <v>35</v>
      </c>
      <c r="B14">
        <v>2026</v>
      </c>
      <c r="C14" s="1">
        <v>46082</v>
      </c>
      <c r="D14" s="1">
        <v>46237</v>
      </c>
      <c r="E14" t="s">
        <v>19</v>
      </c>
      <c r="F14" t="s">
        <v>23</v>
      </c>
      <c r="G14" t="s">
        <v>214</v>
      </c>
      <c r="I14">
        <v>0</v>
      </c>
      <c r="J14">
        <v>0</v>
      </c>
      <c r="N14" t="s">
        <v>18</v>
      </c>
      <c r="O14" t="s">
        <v>18</v>
      </c>
      <c r="P14">
        <f t="shared" si="3"/>
        <v>6</v>
      </c>
      <c r="Q14" s="1">
        <v>46180</v>
      </c>
      <c r="R14" s="1"/>
      <c r="S14" s="1"/>
    </row>
    <row r="15" spans="1:20" x14ac:dyDescent="0.3">
      <c r="A15" t="s">
        <v>35</v>
      </c>
      <c r="B15">
        <v>2026</v>
      </c>
      <c r="C15" s="1">
        <v>46082</v>
      </c>
      <c r="D15" s="1">
        <v>46237</v>
      </c>
      <c r="E15" t="s">
        <v>19</v>
      </c>
      <c r="F15" t="s">
        <v>23</v>
      </c>
      <c r="G15" t="s">
        <v>24</v>
      </c>
      <c r="H15">
        <v>3</v>
      </c>
      <c r="I15">
        <v>3</v>
      </c>
      <c r="J15">
        <v>3</v>
      </c>
      <c r="K15">
        <f t="shared" si="2"/>
        <v>1</v>
      </c>
      <c r="L15">
        <v>304047427</v>
      </c>
      <c r="M15">
        <v>304047175</v>
      </c>
      <c r="N15" t="s">
        <v>20</v>
      </c>
      <c r="O15" t="s">
        <v>36</v>
      </c>
      <c r="P15">
        <f t="shared" si="3"/>
        <v>7</v>
      </c>
      <c r="Q15" s="1">
        <v>46210</v>
      </c>
      <c r="R15" s="1">
        <v>46224</v>
      </c>
      <c r="S15" s="1">
        <v>46235</v>
      </c>
    </row>
    <row r="16" spans="1:20" x14ac:dyDescent="0.3">
      <c r="A16" t="s">
        <v>37</v>
      </c>
      <c r="B16">
        <v>2026</v>
      </c>
      <c r="C16" s="1">
        <v>46082</v>
      </c>
      <c r="D16" s="1">
        <v>46237</v>
      </c>
      <c r="E16" t="s">
        <v>19</v>
      </c>
      <c r="F16" t="s">
        <v>23</v>
      </c>
      <c r="G16" t="s">
        <v>24</v>
      </c>
      <c r="H16">
        <v>5</v>
      </c>
      <c r="I16">
        <v>5</v>
      </c>
      <c r="J16">
        <v>5</v>
      </c>
      <c r="K16">
        <f t="shared" si="2"/>
        <v>1</v>
      </c>
      <c r="L16">
        <v>304047279</v>
      </c>
      <c r="M16">
        <v>304047094</v>
      </c>
      <c r="N16" t="s">
        <v>38</v>
      </c>
      <c r="O16" t="s">
        <v>25</v>
      </c>
      <c r="P16">
        <f t="shared" si="3"/>
        <v>4</v>
      </c>
      <c r="Q16" s="1">
        <v>46142</v>
      </c>
      <c r="R16" s="1">
        <v>46157</v>
      </c>
      <c r="S16" s="1">
        <v>46170</v>
      </c>
    </row>
    <row r="17" spans="1:20" x14ac:dyDescent="0.3">
      <c r="A17" t="s">
        <v>37</v>
      </c>
      <c r="B17">
        <v>2026</v>
      </c>
      <c r="C17" s="1">
        <v>46082</v>
      </c>
      <c r="D17" s="1">
        <v>46237</v>
      </c>
      <c r="E17" t="s">
        <v>19</v>
      </c>
      <c r="F17" t="s">
        <v>23</v>
      </c>
      <c r="G17" t="s">
        <v>24</v>
      </c>
      <c r="H17">
        <v>5</v>
      </c>
      <c r="I17">
        <v>5</v>
      </c>
      <c r="J17">
        <v>4</v>
      </c>
      <c r="K17">
        <f t="shared" si="2"/>
        <v>0.8</v>
      </c>
      <c r="L17">
        <v>304047427</v>
      </c>
      <c r="M17">
        <v>304047175</v>
      </c>
      <c r="N17" t="s">
        <v>20</v>
      </c>
      <c r="O17" t="s">
        <v>36</v>
      </c>
      <c r="P17">
        <f t="shared" si="3"/>
        <v>6</v>
      </c>
      <c r="Q17" s="1">
        <v>46181</v>
      </c>
      <c r="R17" s="1">
        <v>46196</v>
      </c>
      <c r="S17" s="1">
        <v>46205</v>
      </c>
    </row>
    <row r="18" spans="1:20" x14ac:dyDescent="0.3">
      <c r="A18" t="s">
        <v>39</v>
      </c>
      <c r="B18">
        <v>2026</v>
      </c>
      <c r="C18" s="1">
        <v>46082</v>
      </c>
      <c r="D18" s="1">
        <v>46237</v>
      </c>
      <c r="E18" t="s">
        <v>19</v>
      </c>
      <c r="F18" t="s">
        <v>23</v>
      </c>
      <c r="G18" t="s">
        <v>213</v>
      </c>
      <c r="H18">
        <v>5</v>
      </c>
      <c r="J18">
        <v>0</v>
      </c>
      <c r="K18">
        <f t="shared" si="2"/>
        <v>0</v>
      </c>
      <c r="L18">
        <v>304046968</v>
      </c>
      <c r="M18">
        <v>304047184</v>
      </c>
      <c r="N18" t="s">
        <v>29</v>
      </c>
      <c r="O18" t="s">
        <v>36</v>
      </c>
      <c r="P18">
        <f t="shared" si="3"/>
        <v>4</v>
      </c>
      <c r="Q18" s="1">
        <v>46124</v>
      </c>
      <c r="R18" s="1"/>
      <c r="S18" s="1"/>
    </row>
    <row r="19" spans="1:20" x14ac:dyDescent="0.3">
      <c r="A19" t="s">
        <v>39</v>
      </c>
      <c r="B19">
        <v>2026</v>
      </c>
      <c r="C19" s="1">
        <v>46082</v>
      </c>
      <c r="D19" s="1">
        <v>46237</v>
      </c>
      <c r="E19" t="s">
        <v>19</v>
      </c>
      <c r="F19" t="s">
        <v>23</v>
      </c>
      <c r="G19" t="s">
        <v>24</v>
      </c>
      <c r="H19">
        <v>4</v>
      </c>
      <c r="I19">
        <v>4</v>
      </c>
      <c r="J19">
        <v>4</v>
      </c>
      <c r="K19">
        <f t="shared" si="2"/>
        <v>1</v>
      </c>
      <c r="L19">
        <v>304046968</v>
      </c>
      <c r="M19">
        <v>304047184</v>
      </c>
      <c r="N19" t="s">
        <v>29</v>
      </c>
      <c r="O19" t="s">
        <v>36</v>
      </c>
      <c r="P19">
        <f t="shared" si="3"/>
        <v>6</v>
      </c>
      <c r="Q19" s="1">
        <v>46188</v>
      </c>
      <c r="R19" s="1">
        <v>46203</v>
      </c>
      <c r="S19" s="1">
        <v>46213</v>
      </c>
    </row>
    <row r="20" spans="1:20" x14ac:dyDescent="0.3">
      <c r="A20" t="s">
        <v>40</v>
      </c>
      <c r="B20">
        <v>2026</v>
      </c>
      <c r="C20" s="1">
        <v>46082</v>
      </c>
      <c r="D20" s="1">
        <v>46237</v>
      </c>
      <c r="E20" t="s">
        <v>19</v>
      </c>
      <c r="F20" t="s">
        <v>27</v>
      </c>
      <c r="G20" t="s">
        <v>24</v>
      </c>
      <c r="H20">
        <v>5</v>
      </c>
      <c r="I20">
        <v>5</v>
      </c>
      <c r="J20">
        <v>5</v>
      </c>
      <c r="K20">
        <f t="shared" si="2"/>
        <v>1</v>
      </c>
      <c r="L20" t="s">
        <v>28</v>
      </c>
      <c r="M20" t="s">
        <v>28</v>
      </c>
      <c r="N20" t="s">
        <v>18</v>
      </c>
      <c r="O20" t="s">
        <v>18</v>
      </c>
      <c r="P20">
        <f t="shared" si="3"/>
        <v>4</v>
      </c>
      <c r="Q20" s="1">
        <v>46124</v>
      </c>
      <c r="R20" s="1">
        <v>46142</v>
      </c>
      <c r="S20" s="1">
        <v>46154</v>
      </c>
    </row>
    <row r="21" spans="1:20" x14ac:dyDescent="0.3">
      <c r="A21" t="s">
        <v>41</v>
      </c>
      <c r="B21">
        <v>2026</v>
      </c>
      <c r="C21" s="1">
        <v>46082</v>
      </c>
      <c r="D21" s="1">
        <v>46237</v>
      </c>
      <c r="E21" t="s">
        <v>19</v>
      </c>
      <c r="F21" t="s">
        <v>23</v>
      </c>
      <c r="G21" t="s">
        <v>24</v>
      </c>
      <c r="H21">
        <v>4</v>
      </c>
      <c r="I21">
        <v>4</v>
      </c>
      <c r="J21">
        <v>4</v>
      </c>
      <c r="K21">
        <f t="shared" si="2"/>
        <v>1</v>
      </c>
      <c r="L21" t="s">
        <v>42</v>
      </c>
      <c r="M21" t="s">
        <v>42</v>
      </c>
      <c r="N21" t="s">
        <v>18</v>
      </c>
      <c r="O21" t="s">
        <v>18</v>
      </c>
      <c r="P21">
        <f t="shared" si="3"/>
        <v>5</v>
      </c>
      <c r="Q21" s="1">
        <v>46170</v>
      </c>
      <c r="R21" s="1">
        <v>46185</v>
      </c>
      <c r="S21" s="1">
        <v>46196</v>
      </c>
      <c r="T21" t="s">
        <v>43</v>
      </c>
    </row>
    <row r="22" spans="1:20" x14ac:dyDescent="0.3">
      <c r="A22" t="s">
        <v>41</v>
      </c>
      <c r="B22">
        <v>2026</v>
      </c>
      <c r="C22" s="1">
        <v>46082</v>
      </c>
      <c r="D22" s="1">
        <v>46237</v>
      </c>
      <c r="E22" t="s">
        <v>19</v>
      </c>
      <c r="F22" t="s">
        <v>27</v>
      </c>
      <c r="G22" t="s">
        <v>214</v>
      </c>
      <c r="I22">
        <v>0</v>
      </c>
      <c r="J22">
        <v>0</v>
      </c>
      <c r="N22" t="s">
        <v>18</v>
      </c>
      <c r="O22" t="s">
        <v>18</v>
      </c>
      <c r="P22">
        <f t="shared" si="3"/>
        <v>3</v>
      </c>
      <c r="Q22" s="1">
        <v>46106</v>
      </c>
      <c r="R22" s="1"/>
      <c r="S22" s="1"/>
    </row>
    <row r="23" spans="1:20" x14ac:dyDescent="0.3">
      <c r="A23" t="s">
        <v>44</v>
      </c>
      <c r="B23">
        <v>2026</v>
      </c>
      <c r="C23" s="1">
        <v>46082</v>
      </c>
      <c r="D23" s="1">
        <v>46237</v>
      </c>
      <c r="E23" t="s">
        <v>19</v>
      </c>
      <c r="F23" t="s">
        <v>27</v>
      </c>
      <c r="G23" t="s">
        <v>24</v>
      </c>
      <c r="H23">
        <v>5</v>
      </c>
      <c r="I23">
        <v>4</v>
      </c>
      <c r="J23">
        <v>4</v>
      </c>
      <c r="K23">
        <f t="shared" si="2"/>
        <v>0.8</v>
      </c>
      <c r="L23" t="s">
        <v>28</v>
      </c>
      <c r="M23" t="s">
        <v>28</v>
      </c>
      <c r="N23" t="s">
        <v>18</v>
      </c>
      <c r="O23" t="s">
        <v>18</v>
      </c>
      <c r="P23">
        <f t="shared" si="3"/>
        <v>3</v>
      </c>
      <c r="Q23" s="1">
        <v>46107</v>
      </c>
      <c r="R23" s="1">
        <v>46186</v>
      </c>
      <c r="S23" s="1">
        <v>46201</v>
      </c>
    </row>
    <row r="24" spans="1:20" x14ac:dyDescent="0.3">
      <c r="A24" t="s">
        <v>44</v>
      </c>
      <c r="B24">
        <v>2026</v>
      </c>
      <c r="C24" s="1">
        <v>46082</v>
      </c>
      <c r="D24" s="1">
        <v>46237</v>
      </c>
      <c r="E24" t="s">
        <v>19</v>
      </c>
      <c r="F24" t="s">
        <v>27</v>
      </c>
      <c r="G24" t="s">
        <v>24</v>
      </c>
      <c r="H24">
        <v>4</v>
      </c>
      <c r="I24">
        <v>4</v>
      </c>
      <c r="J24">
        <v>4</v>
      </c>
      <c r="K24">
        <f t="shared" si="2"/>
        <v>1</v>
      </c>
      <c r="N24" t="s">
        <v>18</v>
      </c>
      <c r="O24" t="s">
        <v>18</v>
      </c>
      <c r="P24">
        <f t="shared" si="3"/>
        <v>6</v>
      </c>
      <c r="Q24" s="1">
        <v>46193</v>
      </c>
      <c r="R24" s="1">
        <v>46217</v>
      </c>
      <c r="S24" s="1">
        <v>415122</v>
      </c>
    </row>
    <row r="25" spans="1:20" x14ac:dyDescent="0.3">
      <c r="A25" t="s">
        <v>45</v>
      </c>
      <c r="B25">
        <v>2026</v>
      </c>
      <c r="C25" s="1">
        <v>46082</v>
      </c>
      <c r="D25" s="1">
        <v>46237</v>
      </c>
      <c r="E25" t="s">
        <v>21</v>
      </c>
      <c r="Q25" s="1"/>
      <c r="R25" s="1"/>
      <c r="S25" s="1"/>
    </row>
    <row r="26" spans="1:20" x14ac:dyDescent="0.3">
      <c r="A26" t="s">
        <v>46</v>
      </c>
      <c r="B26">
        <v>2026</v>
      </c>
      <c r="C26" s="1">
        <v>46082</v>
      </c>
      <c r="D26" s="1">
        <v>46237</v>
      </c>
      <c r="E26" t="s">
        <v>19</v>
      </c>
      <c r="F26" t="s">
        <v>27</v>
      </c>
      <c r="G26" t="s">
        <v>213</v>
      </c>
      <c r="H26">
        <v>5</v>
      </c>
      <c r="I26">
        <v>5</v>
      </c>
      <c r="J26">
        <v>0</v>
      </c>
      <c r="K26">
        <f t="shared" ref="K26:K29" si="4">J26/H26</f>
        <v>0</v>
      </c>
      <c r="N26" t="s">
        <v>18</v>
      </c>
      <c r="O26" t="s">
        <v>18</v>
      </c>
      <c r="P26">
        <f t="shared" ref="P26:P29" si="5">MONTH(Q26)</f>
        <v>4</v>
      </c>
      <c r="Q26" s="1">
        <v>46129</v>
      </c>
      <c r="R26" s="1">
        <v>46148</v>
      </c>
      <c r="S26" s="1"/>
    </row>
    <row r="27" spans="1:20" x14ac:dyDescent="0.3">
      <c r="A27" t="s">
        <v>47</v>
      </c>
      <c r="B27">
        <v>2026</v>
      </c>
      <c r="C27" s="1">
        <v>46082</v>
      </c>
      <c r="D27" s="1">
        <v>46237</v>
      </c>
      <c r="E27" t="s">
        <v>19</v>
      </c>
      <c r="F27" t="s">
        <v>27</v>
      </c>
      <c r="G27" t="s">
        <v>24</v>
      </c>
      <c r="H27">
        <v>4</v>
      </c>
      <c r="I27">
        <v>4</v>
      </c>
      <c r="J27">
        <v>4</v>
      </c>
      <c r="K27">
        <f t="shared" si="4"/>
        <v>1</v>
      </c>
      <c r="L27" t="s">
        <v>28</v>
      </c>
      <c r="M27" t="s">
        <v>28</v>
      </c>
      <c r="N27" t="s">
        <v>18</v>
      </c>
      <c r="O27" t="s">
        <v>18</v>
      </c>
      <c r="P27">
        <f t="shared" si="5"/>
        <v>4</v>
      </c>
      <c r="Q27" s="1">
        <v>46116</v>
      </c>
      <c r="R27" s="1">
        <v>46126</v>
      </c>
      <c r="S27" s="1">
        <v>46139</v>
      </c>
    </row>
    <row r="28" spans="1:20" x14ac:dyDescent="0.3">
      <c r="A28" t="s">
        <v>48</v>
      </c>
      <c r="B28">
        <v>2026</v>
      </c>
      <c r="C28" s="1">
        <v>46082</v>
      </c>
      <c r="D28" s="1">
        <v>46237</v>
      </c>
      <c r="E28" t="s">
        <v>49</v>
      </c>
      <c r="F28" t="s">
        <v>27</v>
      </c>
      <c r="G28" t="s">
        <v>214</v>
      </c>
      <c r="I28">
        <v>0</v>
      </c>
      <c r="J28">
        <v>0</v>
      </c>
      <c r="N28" t="s">
        <v>18</v>
      </c>
      <c r="O28" t="s">
        <v>18</v>
      </c>
      <c r="P28">
        <f t="shared" si="5"/>
        <v>3</v>
      </c>
      <c r="Q28" s="1">
        <v>46105</v>
      </c>
      <c r="R28" s="1"/>
      <c r="S28" s="1"/>
    </row>
    <row r="29" spans="1:20" x14ac:dyDescent="0.3">
      <c r="A29" t="s">
        <v>50</v>
      </c>
      <c r="B29">
        <v>2026</v>
      </c>
      <c r="C29" s="1">
        <v>46082</v>
      </c>
      <c r="D29" s="1">
        <v>46237</v>
      </c>
      <c r="E29" t="s">
        <v>19</v>
      </c>
      <c r="F29" t="s">
        <v>27</v>
      </c>
      <c r="G29" t="s">
        <v>213</v>
      </c>
      <c r="H29">
        <v>5</v>
      </c>
      <c r="J29">
        <v>0</v>
      </c>
      <c r="K29">
        <f t="shared" si="4"/>
        <v>0</v>
      </c>
      <c r="N29" t="s">
        <v>18</v>
      </c>
      <c r="O29" t="s">
        <v>18</v>
      </c>
      <c r="P29">
        <f t="shared" si="5"/>
        <v>6</v>
      </c>
      <c r="Q29" s="1">
        <v>46180</v>
      </c>
      <c r="R29" s="1"/>
      <c r="S29" s="1"/>
      <c r="T29" t="s">
        <v>51</v>
      </c>
    </row>
    <row r="30" spans="1:20" x14ac:dyDescent="0.3">
      <c r="A30" t="s">
        <v>52</v>
      </c>
      <c r="B30">
        <v>2026</v>
      </c>
      <c r="C30" s="1">
        <v>46082</v>
      </c>
      <c r="D30" s="1">
        <v>46237</v>
      </c>
      <c r="E30" t="s">
        <v>21</v>
      </c>
      <c r="Q30" s="1"/>
      <c r="R30" s="1"/>
      <c r="S30" s="1"/>
    </row>
    <row r="31" spans="1:20" x14ac:dyDescent="0.3">
      <c r="A31" t="s">
        <v>53</v>
      </c>
      <c r="B31">
        <v>2026</v>
      </c>
      <c r="C31" s="1">
        <v>46082</v>
      </c>
      <c r="D31" s="1">
        <v>46247</v>
      </c>
      <c r="E31" t="s">
        <v>19</v>
      </c>
      <c r="F31" t="s">
        <v>23</v>
      </c>
      <c r="G31" t="s">
        <v>24</v>
      </c>
      <c r="H31">
        <v>4</v>
      </c>
      <c r="I31">
        <v>4</v>
      </c>
      <c r="J31">
        <v>2</v>
      </c>
      <c r="K31">
        <f t="shared" ref="K31:K34" si="6">J31/H31</f>
        <v>0.5</v>
      </c>
      <c r="L31" t="s">
        <v>28</v>
      </c>
      <c r="M31">
        <v>304047183</v>
      </c>
      <c r="N31" t="s">
        <v>18</v>
      </c>
      <c r="O31" t="s">
        <v>36</v>
      </c>
      <c r="P31">
        <f t="shared" ref="P31:P34" si="7">MONTH(Q31)</f>
        <v>4</v>
      </c>
      <c r="Q31" s="1">
        <v>46136</v>
      </c>
      <c r="R31" s="1">
        <v>46152</v>
      </c>
      <c r="S31" s="1">
        <v>46164</v>
      </c>
      <c r="T31" t="s">
        <v>54</v>
      </c>
    </row>
    <row r="32" spans="1:20" x14ac:dyDescent="0.3">
      <c r="A32" t="s">
        <v>53</v>
      </c>
      <c r="B32">
        <v>2026</v>
      </c>
      <c r="C32" s="1">
        <v>46082</v>
      </c>
      <c r="D32" s="1">
        <v>46247</v>
      </c>
      <c r="E32" t="s">
        <v>19</v>
      </c>
      <c r="F32" t="s">
        <v>23</v>
      </c>
      <c r="G32" t="s">
        <v>214</v>
      </c>
      <c r="H32">
        <v>3</v>
      </c>
      <c r="I32">
        <v>2</v>
      </c>
      <c r="J32">
        <v>0</v>
      </c>
      <c r="K32">
        <f t="shared" si="6"/>
        <v>0</v>
      </c>
      <c r="L32">
        <v>304047475</v>
      </c>
      <c r="M32">
        <v>304047183</v>
      </c>
      <c r="N32" t="s">
        <v>38</v>
      </c>
      <c r="O32" t="s">
        <v>36</v>
      </c>
      <c r="P32">
        <f t="shared" si="7"/>
        <v>7</v>
      </c>
      <c r="Q32" s="1">
        <v>46222</v>
      </c>
      <c r="R32" s="1">
        <v>46237</v>
      </c>
      <c r="S32" s="1"/>
    </row>
    <row r="33" spans="1:20" x14ac:dyDescent="0.3">
      <c r="A33" t="s">
        <v>55</v>
      </c>
      <c r="B33">
        <v>2026</v>
      </c>
      <c r="C33" s="1">
        <v>46082</v>
      </c>
      <c r="D33" s="1">
        <v>46237</v>
      </c>
      <c r="E33" t="s">
        <v>19</v>
      </c>
      <c r="F33" t="s">
        <v>27</v>
      </c>
      <c r="G33" t="s">
        <v>24</v>
      </c>
      <c r="H33">
        <v>5</v>
      </c>
      <c r="I33">
        <v>5</v>
      </c>
      <c r="J33">
        <v>5</v>
      </c>
      <c r="K33">
        <f t="shared" si="6"/>
        <v>1</v>
      </c>
      <c r="L33" t="s">
        <v>28</v>
      </c>
      <c r="M33" t="s">
        <v>28</v>
      </c>
      <c r="N33" t="s">
        <v>18</v>
      </c>
      <c r="O33" t="s">
        <v>18</v>
      </c>
      <c r="P33">
        <f t="shared" si="7"/>
        <v>5</v>
      </c>
      <c r="Q33" s="1">
        <v>46160</v>
      </c>
      <c r="R33" s="1">
        <v>46176</v>
      </c>
      <c r="S33" s="1">
        <v>46188</v>
      </c>
    </row>
    <row r="34" spans="1:20" x14ac:dyDescent="0.3">
      <c r="A34" t="s">
        <v>56</v>
      </c>
      <c r="B34">
        <v>2026</v>
      </c>
      <c r="C34" s="1">
        <v>46082</v>
      </c>
      <c r="D34" s="1">
        <v>46237</v>
      </c>
      <c r="E34" t="s">
        <v>19</v>
      </c>
      <c r="F34" t="s">
        <v>27</v>
      </c>
      <c r="G34" t="s">
        <v>24</v>
      </c>
      <c r="H34">
        <v>5</v>
      </c>
      <c r="I34">
        <v>5</v>
      </c>
      <c r="J34">
        <v>5</v>
      </c>
      <c r="K34">
        <f t="shared" si="6"/>
        <v>1</v>
      </c>
      <c r="L34" t="s">
        <v>28</v>
      </c>
      <c r="M34" t="s">
        <v>28</v>
      </c>
      <c r="N34" t="s">
        <v>18</v>
      </c>
      <c r="O34" t="s">
        <v>18</v>
      </c>
      <c r="P34">
        <f t="shared" si="7"/>
        <v>4</v>
      </c>
      <c r="Q34" s="1">
        <v>46119</v>
      </c>
      <c r="R34" s="1">
        <v>46136</v>
      </c>
      <c r="S34" s="1">
        <v>46149</v>
      </c>
    </row>
    <row r="35" spans="1:20" x14ac:dyDescent="0.3">
      <c r="A35" t="s">
        <v>57</v>
      </c>
      <c r="B35">
        <v>2026</v>
      </c>
      <c r="C35" s="1">
        <v>46082</v>
      </c>
      <c r="D35" s="1">
        <v>46237</v>
      </c>
      <c r="E35" t="s">
        <v>21</v>
      </c>
      <c r="Q35" s="1"/>
      <c r="R35" s="1"/>
      <c r="S35" s="1"/>
    </row>
    <row r="36" spans="1:20" x14ac:dyDescent="0.3">
      <c r="A36" t="s">
        <v>58</v>
      </c>
      <c r="B36">
        <v>2026</v>
      </c>
      <c r="C36" s="1">
        <v>46082</v>
      </c>
      <c r="D36" s="1">
        <v>46223</v>
      </c>
      <c r="E36" t="s">
        <v>19</v>
      </c>
      <c r="F36" t="s">
        <v>23</v>
      </c>
      <c r="G36" t="s">
        <v>24</v>
      </c>
      <c r="H36">
        <v>4</v>
      </c>
      <c r="I36">
        <v>4</v>
      </c>
      <c r="J36">
        <v>4</v>
      </c>
      <c r="K36">
        <f t="shared" ref="K36" si="8">J36/H36</f>
        <v>1</v>
      </c>
      <c r="L36" t="s">
        <v>28</v>
      </c>
      <c r="M36">
        <v>304047013</v>
      </c>
      <c r="N36" t="s">
        <v>18</v>
      </c>
      <c r="O36" t="s">
        <v>20</v>
      </c>
      <c r="P36">
        <f t="shared" ref="P36:P37" si="9">MONTH(Q36)</f>
        <v>4</v>
      </c>
      <c r="Q36" s="1">
        <v>46127</v>
      </c>
      <c r="R36" s="1">
        <v>46145</v>
      </c>
      <c r="S36" s="1">
        <v>46155</v>
      </c>
      <c r="T36" t="s">
        <v>59</v>
      </c>
    </row>
    <row r="37" spans="1:20" x14ac:dyDescent="0.3">
      <c r="A37" t="s">
        <v>58</v>
      </c>
      <c r="B37">
        <v>2026</v>
      </c>
      <c r="C37" s="1">
        <v>46082</v>
      </c>
      <c r="D37" s="1">
        <v>46223</v>
      </c>
      <c r="E37" t="s">
        <v>19</v>
      </c>
      <c r="F37" t="s">
        <v>23</v>
      </c>
      <c r="G37" t="s">
        <v>218</v>
      </c>
      <c r="I37">
        <v>0</v>
      </c>
      <c r="J37">
        <v>0</v>
      </c>
      <c r="L37">
        <v>304047343</v>
      </c>
      <c r="M37">
        <v>304047342</v>
      </c>
      <c r="N37" t="s">
        <v>20</v>
      </c>
      <c r="O37" t="s">
        <v>25</v>
      </c>
      <c r="P37">
        <f t="shared" si="9"/>
        <v>5</v>
      </c>
      <c r="Q37" s="1">
        <v>46166</v>
      </c>
      <c r="R37" s="1"/>
      <c r="S37" s="1"/>
      <c r="T37" t="s">
        <v>60</v>
      </c>
    </row>
    <row r="38" spans="1:20" x14ac:dyDescent="0.3">
      <c r="A38" t="s">
        <v>61</v>
      </c>
      <c r="B38">
        <v>2026</v>
      </c>
      <c r="C38" s="1">
        <v>46082</v>
      </c>
      <c r="D38" s="1">
        <v>46223</v>
      </c>
      <c r="E38" t="s">
        <v>21</v>
      </c>
      <c r="Q38" s="1"/>
      <c r="R38" s="1"/>
      <c r="S38" s="1"/>
    </row>
    <row r="39" spans="1:20" x14ac:dyDescent="0.3">
      <c r="A39" t="s">
        <v>62</v>
      </c>
      <c r="B39">
        <v>2026</v>
      </c>
      <c r="C39" s="1">
        <v>46082</v>
      </c>
      <c r="D39" s="1">
        <v>46223</v>
      </c>
      <c r="E39" t="s">
        <v>19</v>
      </c>
      <c r="F39" t="s">
        <v>23</v>
      </c>
      <c r="G39" t="s">
        <v>24</v>
      </c>
      <c r="H39">
        <v>5</v>
      </c>
      <c r="I39">
        <v>3</v>
      </c>
      <c r="J39">
        <v>3</v>
      </c>
      <c r="K39">
        <f>J39/H39</f>
        <v>0.6</v>
      </c>
      <c r="L39">
        <v>301052638</v>
      </c>
      <c r="M39">
        <v>304046974</v>
      </c>
      <c r="N39" t="s">
        <v>63</v>
      </c>
      <c r="O39" t="s">
        <v>29</v>
      </c>
      <c r="P39">
        <f>MONTH(Q39)</f>
        <v>4</v>
      </c>
      <c r="Q39" s="1">
        <v>46125</v>
      </c>
      <c r="R39" s="1">
        <v>46142</v>
      </c>
      <c r="S39" s="1">
        <v>46153</v>
      </c>
    </row>
    <row r="40" spans="1:20" x14ac:dyDescent="0.3">
      <c r="A40" t="s">
        <v>64</v>
      </c>
      <c r="B40">
        <v>2026</v>
      </c>
      <c r="C40" s="1">
        <v>46082</v>
      </c>
      <c r="D40" s="1">
        <v>46223</v>
      </c>
      <c r="E40" t="s">
        <v>21</v>
      </c>
      <c r="Q40" s="1"/>
      <c r="R40" s="1"/>
      <c r="S40" s="1"/>
    </row>
    <row r="41" spans="1:20" x14ac:dyDescent="0.3">
      <c r="A41" t="s">
        <v>65</v>
      </c>
      <c r="B41">
        <v>2026</v>
      </c>
      <c r="C41" s="1">
        <v>46082</v>
      </c>
      <c r="D41" s="1">
        <v>46223</v>
      </c>
      <c r="E41" t="s">
        <v>19</v>
      </c>
      <c r="F41" t="s">
        <v>23</v>
      </c>
      <c r="G41" t="s">
        <v>216</v>
      </c>
      <c r="H41">
        <v>4</v>
      </c>
      <c r="I41">
        <v>0</v>
      </c>
      <c r="J41">
        <v>0</v>
      </c>
      <c r="K41">
        <f t="shared" ref="K41:K43" si="10">J41/H41</f>
        <v>0</v>
      </c>
      <c r="L41">
        <v>304046875</v>
      </c>
      <c r="M41">
        <v>304046855</v>
      </c>
      <c r="N41" t="s">
        <v>25</v>
      </c>
      <c r="O41" t="s">
        <v>20</v>
      </c>
      <c r="P41">
        <f t="shared" ref="P41:P43" si="11">MONTH(Q41)</f>
        <v>5</v>
      </c>
      <c r="Q41" s="1">
        <v>46150</v>
      </c>
      <c r="R41" s="1"/>
      <c r="S41" s="1"/>
      <c r="T41" t="s">
        <v>66</v>
      </c>
    </row>
    <row r="42" spans="1:20" x14ac:dyDescent="0.3">
      <c r="A42" t="s">
        <v>65</v>
      </c>
      <c r="B42">
        <v>2026</v>
      </c>
      <c r="C42" s="1">
        <v>46082</v>
      </c>
      <c r="D42" s="1">
        <v>46223</v>
      </c>
      <c r="E42" t="s">
        <v>19</v>
      </c>
      <c r="F42" t="s">
        <v>23</v>
      </c>
      <c r="G42" t="s">
        <v>218</v>
      </c>
      <c r="H42">
        <v>4</v>
      </c>
      <c r="I42">
        <v>0</v>
      </c>
      <c r="J42">
        <v>0</v>
      </c>
      <c r="K42">
        <f t="shared" si="10"/>
        <v>0</v>
      </c>
      <c r="L42" t="s">
        <v>28</v>
      </c>
      <c r="M42" t="s">
        <v>28</v>
      </c>
      <c r="N42" t="s">
        <v>18</v>
      </c>
      <c r="O42" t="s">
        <v>18</v>
      </c>
      <c r="P42">
        <f t="shared" si="11"/>
        <v>6</v>
      </c>
      <c r="Q42" s="1">
        <v>46174</v>
      </c>
      <c r="R42" s="1"/>
      <c r="S42" s="1"/>
    </row>
    <row r="43" spans="1:20" x14ac:dyDescent="0.3">
      <c r="A43" t="s">
        <v>67</v>
      </c>
      <c r="B43">
        <v>2026</v>
      </c>
      <c r="C43" s="1">
        <v>46082</v>
      </c>
      <c r="D43" s="1">
        <v>46223</v>
      </c>
      <c r="E43" t="s">
        <v>19</v>
      </c>
      <c r="F43" t="s">
        <v>23</v>
      </c>
      <c r="G43" t="s">
        <v>24</v>
      </c>
      <c r="H43">
        <v>5</v>
      </c>
      <c r="I43">
        <v>5</v>
      </c>
      <c r="J43">
        <v>4</v>
      </c>
      <c r="K43">
        <f t="shared" si="10"/>
        <v>0.8</v>
      </c>
      <c r="L43">
        <v>304047010</v>
      </c>
      <c r="M43">
        <v>304047046</v>
      </c>
      <c r="N43" t="s">
        <v>25</v>
      </c>
      <c r="O43" t="s">
        <v>25</v>
      </c>
      <c r="P43">
        <f t="shared" si="11"/>
        <v>4</v>
      </c>
      <c r="Q43" s="1">
        <v>46139</v>
      </c>
      <c r="R43" s="1">
        <v>46156</v>
      </c>
      <c r="S43" s="1">
        <v>46167</v>
      </c>
    </row>
    <row r="44" spans="1:20" x14ac:dyDescent="0.3">
      <c r="A44" t="s">
        <v>68</v>
      </c>
      <c r="B44">
        <v>2026</v>
      </c>
      <c r="C44" s="1">
        <v>46082</v>
      </c>
      <c r="D44" s="1">
        <v>46223</v>
      </c>
      <c r="E44" t="s">
        <v>21</v>
      </c>
      <c r="Q44" s="1"/>
      <c r="R44" s="1"/>
      <c r="S44" s="1"/>
    </row>
    <row r="45" spans="1:20" x14ac:dyDescent="0.3">
      <c r="A45" t="s">
        <v>69</v>
      </c>
      <c r="B45">
        <v>2026</v>
      </c>
      <c r="C45" s="1">
        <v>46082</v>
      </c>
      <c r="D45" s="1">
        <v>46223</v>
      </c>
      <c r="E45" t="s">
        <v>19</v>
      </c>
      <c r="F45" t="s">
        <v>23</v>
      </c>
      <c r="G45" t="s">
        <v>215</v>
      </c>
      <c r="H45">
        <v>4</v>
      </c>
      <c r="I45">
        <v>4</v>
      </c>
      <c r="J45">
        <v>0</v>
      </c>
      <c r="K45">
        <f t="shared" ref="K45:K49" si="12">J45/H45</f>
        <v>0</v>
      </c>
      <c r="L45">
        <v>304047363</v>
      </c>
      <c r="M45">
        <v>301052620</v>
      </c>
      <c r="N45" t="s">
        <v>25</v>
      </c>
      <c r="O45" t="s">
        <v>29</v>
      </c>
      <c r="P45">
        <f t="shared" ref="P45:P49" si="13">MONTH(Q45)</f>
        <v>4</v>
      </c>
      <c r="Q45" s="1">
        <v>46141</v>
      </c>
      <c r="R45" s="1">
        <v>46156</v>
      </c>
      <c r="S45" s="1"/>
    </row>
    <row r="46" spans="1:20" x14ac:dyDescent="0.3">
      <c r="A46" t="s">
        <v>70</v>
      </c>
      <c r="B46">
        <v>2026</v>
      </c>
      <c r="C46" s="1">
        <v>46082</v>
      </c>
      <c r="D46" s="1">
        <v>46223</v>
      </c>
      <c r="E46" t="s">
        <v>19</v>
      </c>
      <c r="F46" t="s">
        <v>23</v>
      </c>
      <c r="G46" t="s">
        <v>24</v>
      </c>
      <c r="H46">
        <v>5</v>
      </c>
      <c r="I46">
        <v>4</v>
      </c>
      <c r="J46">
        <v>1</v>
      </c>
      <c r="K46">
        <f t="shared" si="12"/>
        <v>0.2</v>
      </c>
      <c r="L46">
        <v>304023724</v>
      </c>
      <c r="M46">
        <v>301052620</v>
      </c>
      <c r="N46" t="s">
        <v>63</v>
      </c>
      <c r="O46" t="s">
        <v>29</v>
      </c>
      <c r="P46">
        <f t="shared" si="13"/>
        <v>4</v>
      </c>
      <c r="Q46" s="1">
        <v>46132</v>
      </c>
      <c r="R46" s="1">
        <v>46149</v>
      </c>
      <c r="S46" s="1">
        <v>46159</v>
      </c>
      <c r="T46" t="s">
        <v>71</v>
      </c>
    </row>
    <row r="47" spans="1:20" x14ac:dyDescent="0.3">
      <c r="A47" t="s">
        <v>70</v>
      </c>
      <c r="B47">
        <v>2026</v>
      </c>
      <c r="C47" s="1">
        <v>46082</v>
      </c>
      <c r="D47" s="1">
        <v>46223</v>
      </c>
      <c r="E47" t="s">
        <v>19</v>
      </c>
      <c r="F47" t="s">
        <v>23</v>
      </c>
      <c r="G47" t="s">
        <v>24</v>
      </c>
      <c r="H47">
        <v>4</v>
      </c>
      <c r="I47">
        <v>3</v>
      </c>
      <c r="J47">
        <v>3</v>
      </c>
      <c r="K47">
        <f t="shared" si="12"/>
        <v>0.75</v>
      </c>
      <c r="M47">
        <v>301052620</v>
      </c>
      <c r="N47" t="s">
        <v>18</v>
      </c>
      <c r="O47" t="s">
        <v>29</v>
      </c>
      <c r="P47">
        <f t="shared" si="13"/>
        <v>6</v>
      </c>
      <c r="Q47" s="1">
        <v>46196</v>
      </c>
      <c r="R47" s="1">
        <v>46210</v>
      </c>
      <c r="S47" s="1">
        <v>46222</v>
      </c>
    </row>
    <row r="48" spans="1:20" x14ac:dyDescent="0.3">
      <c r="A48" t="s">
        <v>72</v>
      </c>
      <c r="B48">
        <v>2026</v>
      </c>
      <c r="C48" s="1">
        <v>46082</v>
      </c>
      <c r="D48" s="1">
        <v>46223</v>
      </c>
      <c r="E48" t="s">
        <v>19</v>
      </c>
      <c r="F48" t="s">
        <v>23</v>
      </c>
      <c r="G48" t="s">
        <v>24</v>
      </c>
      <c r="H48">
        <v>5</v>
      </c>
      <c r="I48">
        <v>5</v>
      </c>
      <c r="J48">
        <v>5</v>
      </c>
      <c r="K48">
        <f t="shared" si="12"/>
        <v>1</v>
      </c>
      <c r="L48">
        <v>304023724</v>
      </c>
      <c r="M48">
        <v>304047042</v>
      </c>
      <c r="N48" t="s">
        <v>63</v>
      </c>
      <c r="O48" t="s">
        <v>25</v>
      </c>
      <c r="P48">
        <f t="shared" si="13"/>
        <v>4</v>
      </c>
      <c r="Q48" s="1">
        <v>46140</v>
      </c>
      <c r="R48" s="1">
        <v>46157</v>
      </c>
      <c r="S48" s="1">
        <v>46168</v>
      </c>
      <c r="T48" t="s">
        <v>73</v>
      </c>
    </row>
    <row r="49" spans="1:20" x14ac:dyDescent="0.3">
      <c r="A49" t="s">
        <v>72</v>
      </c>
      <c r="B49">
        <v>2026</v>
      </c>
      <c r="C49" s="1">
        <v>46082</v>
      </c>
      <c r="D49" s="1">
        <v>46223</v>
      </c>
      <c r="E49" t="s">
        <v>19</v>
      </c>
      <c r="F49" t="s">
        <v>23</v>
      </c>
      <c r="G49" t="s">
        <v>24</v>
      </c>
      <c r="H49">
        <v>4</v>
      </c>
      <c r="I49">
        <v>3</v>
      </c>
      <c r="J49">
        <v>3</v>
      </c>
      <c r="K49">
        <f t="shared" si="12"/>
        <v>0.75</v>
      </c>
      <c r="L49">
        <v>304047042</v>
      </c>
      <c r="M49">
        <v>304047042</v>
      </c>
      <c r="N49" t="s">
        <v>20</v>
      </c>
      <c r="O49" t="s">
        <v>25</v>
      </c>
      <c r="P49">
        <f t="shared" si="13"/>
        <v>6</v>
      </c>
      <c r="Q49" s="1">
        <v>46181</v>
      </c>
      <c r="R49" s="1">
        <v>46198</v>
      </c>
      <c r="S49" s="1">
        <v>46208</v>
      </c>
    </row>
    <row r="50" spans="1:20" x14ac:dyDescent="0.3">
      <c r="A50" t="s">
        <v>74</v>
      </c>
      <c r="B50">
        <v>2026</v>
      </c>
      <c r="C50" s="1">
        <v>46082</v>
      </c>
      <c r="D50" s="1">
        <v>46223</v>
      </c>
      <c r="E50" t="s">
        <v>21</v>
      </c>
      <c r="Q50" s="1"/>
      <c r="R50" s="1"/>
      <c r="S50" s="1"/>
    </row>
    <row r="51" spans="1:20" x14ac:dyDescent="0.3">
      <c r="A51" t="s">
        <v>75</v>
      </c>
      <c r="B51">
        <v>2026</v>
      </c>
      <c r="C51" s="1">
        <v>46082</v>
      </c>
      <c r="D51" s="1">
        <v>46223</v>
      </c>
      <c r="E51" t="s">
        <v>21</v>
      </c>
      <c r="Q51" s="1"/>
      <c r="R51" s="1"/>
      <c r="S51" s="1"/>
    </row>
    <row r="52" spans="1:20" x14ac:dyDescent="0.3">
      <c r="A52" t="s">
        <v>76</v>
      </c>
      <c r="B52">
        <v>2026</v>
      </c>
      <c r="C52" s="1">
        <v>46082</v>
      </c>
      <c r="D52" s="1">
        <v>46223</v>
      </c>
      <c r="E52" t="s">
        <v>21</v>
      </c>
      <c r="Q52" s="1"/>
      <c r="R52" s="1"/>
      <c r="S52" s="1"/>
    </row>
    <row r="53" spans="1:20" x14ac:dyDescent="0.3">
      <c r="A53" t="s">
        <v>77</v>
      </c>
      <c r="B53">
        <v>2026</v>
      </c>
      <c r="C53" s="1">
        <v>46082</v>
      </c>
      <c r="D53" s="1">
        <v>46223</v>
      </c>
      <c r="E53" t="s">
        <v>19</v>
      </c>
      <c r="F53" t="s">
        <v>27</v>
      </c>
      <c r="G53" t="s">
        <v>24</v>
      </c>
      <c r="H53">
        <v>6</v>
      </c>
      <c r="I53">
        <v>5</v>
      </c>
      <c r="J53">
        <v>5</v>
      </c>
      <c r="K53">
        <f>J53/H53</f>
        <v>0.83333333333333337</v>
      </c>
      <c r="N53" t="s">
        <v>18</v>
      </c>
      <c r="O53" t="s">
        <v>18</v>
      </c>
      <c r="P53">
        <f>MONTH(Q53)</f>
        <v>4</v>
      </c>
      <c r="Q53" s="1">
        <v>46138</v>
      </c>
      <c r="R53" s="1">
        <v>46158</v>
      </c>
      <c r="S53" s="1">
        <v>46170</v>
      </c>
    </row>
    <row r="54" spans="1:20" x14ac:dyDescent="0.3">
      <c r="A54" t="s">
        <v>78</v>
      </c>
      <c r="B54">
        <v>2026</v>
      </c>
      <c r="C54" s="1">
        <v>46082</v>
      </c>
      <c r="D54" s="1">
        <v>46223</v>
      </c>
      <c r="E54" t="s">
        <v>21</v>
      </c>
      <c r="Q54" s="1"/>
      <c r="R54" s="1"/>
      <c r="S54" s="1"/>
    </row>
    <row r="55" spans="1:20" x14ac:dyDescent="0.3">
      <c r="A55" t="s">
        <v>79</v>
      </c>
      <c r="B55">
        <v>2026</v>
      </c>
      <c r="C55" s="1">
        <v>46082</v>
      </c>
      <c r="D55" s="1">
        <v>46223</v>
      </c>
      <c r="E55" t="s">
        <v>19</v>
      </c>
      <c r="F55" t="s">
        <v>23</v>
      </c>
      <c r="G55" t="s">
        <v>213</v>
      </c>
      <c r="H55">
        <v>5</v>
      </c>
      <c r="J55">
        <v>0</v>
      </c>
      <c r="K55">
        <f>J55/H55</f>
        <v>0</v>
      </c>
      <c r="L55">
        <v>304047341</v>
      </c>
      <c r="M55">
        <v>304047103</v>
      </c>
      <c r="N55" t="s">
        <v>25</v>
      </c>
      <c r="O55" t="s">
        <v>36</v>
      </c>
      <c r="P55">
        <f>MONTH(Q55)</f>
        <v>5</v>
      </c>
      <c r="Q55" s="1">
        <v>46158</v>
      </c>
      <c r="R55" s="1"/>
      <c r="S55" s="1"/>
    </row>
    <row r="56" spans="1:20" x14ac:dyDescent="0.3">
      <c r="A56" t="s">
        <v>80</v>
      </c>
      <c r="B56">
        <v>2026</v>
      </c>
      <c r="C56" s="1">
        <v>46082</v>
      </c>
      <c r="D56" s="1">
        <v>46225</v>
      </c>
      <c r="E56" t="s">
        <v>21</v>
      </c>
      <c r="Q56" s="1"/>
      <c r="R56" s="1"/>
      <c r="S56" s="1"/>
    </row>
    <row r="57" spans="1:20" x14ac:dyDescent="0.3">
      <c r="A57" t="s">
        <v>81</v>
      </c>
      <c r="B57">
        <v>2026</v>
      </c>
      <c r="C57" s="1">
        <v>46082</v>
      </c>
      <c r="D57" s="1">
        <v>46225</v>
      </c>
      <c r="E57" t="s">
        <v>19</v>
      </c>
      <c r="F57" t="s">
        <v>23</v>
      </c>
      <c r="G57" t="s">
        <v>24</v>
      </c>
      <c r="H57">
        <v>5</v>
      </c>
      <c r="I57">
        <v>5</v>
      </c>
      <c r="J57">
        <v>5</v>
      </c>
      <c r="K57">
        <f t="shared" ref="K57:K60" si="14">J57/H57</f>
        <v>1</v>
      </c>
      <c r="L57">
        <v>309013839</v>
      </c>
      <c r="M57">
        <v>301016230</v>
      </c>
      <c r="N57" t="s">
        <v>29</v>
      </c>
      <c r="O57" t="s">
        <v>82</v>
      </c>
      <c r="P57">
        <f t="shared" ref="P57:P60" si="15">MONTH(Q57)</f>
        <v>4</v>
      </c>
      <c r="Q57" s="1">
        <v>46137</v>
      </c>
      <c r="R57" s="1">
        <v>46152</v>
      </c>
      <c r="S57" s="1">
        <v>46166</v>
      </c>
    </row>
    <row r="58" spans="1:20" x14ac:dyDescent="0.3">
      <c r="A58" t="s">
        <v>81</v>
      </c>
      <c r="B58">
        <v>2026</v>
      </c>
      <c r="C58" s="1">
        <v>46082</v>
      </c>
      <c r="D58" s="1">
        <v>46225</v>
      </c>
      <c r="E58" t="s">
        <v>19</v>
      </c>
      <c r="F58" t="s">
        <v>23</v>
      </c>
      <c r="G58" t="s">
        <v>24</v>
      </c>
      <c r="H58">
        <v>4</v>
      </c>
      <c r="I58">
        <v>4</v>
      </c>
      <c r="J58">
        <v>4</v>
      </c>
      <c r="K58">
        <f t="shared" si="14"/>
        <v>1</v>
      </c>
      <c r="L58">
        <v>309013839</v>
      </c>
      <c r="M58">
        <v>301016230</v>
      </c>
      <c r="N58" t="s">
        <v>29</v>
      </c>
      <c r="O58" t="s">
        <v>82</v>
      </c>
      <c r="P58">
        <f t="shared" si="15"/>
        <v>5</v>
      </c>
      <c r="Q58" s="1">
        <v>46173</v>
      </c>
      <c r="R58" s="1">
        <v>46188</v>
      </c>
      <c r="S58" s="1">
        <v>46199</v>
      </c>
    </row>
    <row r="59" spans="1:20" x14ac:dyDescent="0.3">
      <c r="A59" t="s">
        <v>83</v>
      </c>
      <c r="B59">
        <v>2026</v>
      </c>
      <c r="C59" s="1">
        <v>46082</v>
      </c>
      <c r="D59" s="1">
        <v>46225</v>
      </c>
      <c r="E59" t="s">
        <v>19</v>
      </c>
      <c r="F59" t="s">
        <v>23</v>
      </c>
      <c r="G59" t="s">
        <v>213</v>
      </c>
      <c r="H59">
        <v>5</v>
      </c>
      <c r="I59">
        <v>0</v>
      </c>
      <c r="J59">
        <v>0</v>
      </c>
      <c r="K59">
        <f t="shared" si="14"/>
        <v>0</v>
      </c>
      <c r="L59">
        <v>304046838</v>
      </c>
      <c r="M59">
        <v>301016109</v>
      </c>
      <c r="N59" t="s">
        <v>84</v>
      </c>
      <c r="O59" t="s">
        <v>29</v>
      </c>
      <c r="P59">
        <f t="shared" si="15"/>
        <v>4</v>
      </c>
      <c r="Q59" s="1">
        <v>46125</v>
      </c>
      <c r="R59" s="1"/>
      <c r="S59" s="1"/>
      <c r="T59" t="s">
        <v>85</v>
      </c>
    </row>
    <row r="60" spans="1:20" x14ac:dyDescent="0.3">
      <c r="A60" t="s">
        <v>83</v>
      </c>
      <c r="B60">
        <v>2026</v>
      </c>
      <c r="C60" s="1">
        <v>46082</v>
      </c>
      <c r="D60" s="1">
        <v>46225</v>
      </c>
      <c r="E60" t="s">
        <v>19</v>
      </c>
      <c r="F60" t="s">
        <v>23</v>
      </c>
      <c r="G60" t="s">
        <v>24</v>
      </c>
      <c r="H60">
        <v>4</v>
      </c>
      <c r="I60">
        <v>4</v>
      </c>
      <c r="J60">
        <v>4</v>
      </c>
      <c r="K60">
        <f t="shared" si="14"/>
        <v>1</v>
      </c>
      <c r="L60">
        <v>304046838</v>
      </c>
      <c r="M60">
        <v>301016109</v>
      </c>
      <c r="N60" t="s">
        <v>84</v>
      </c>
      <c r="O60" t="s">
        <v>29</v>
      </c>
      <c r="P60">
        <f t="shared" si="15"/>
        <v>5</v>
      </c>
      <c r="Q60" s="1">
        <v>46162</v>
      </c>
      <c r="R60" s="1">
        <v>46178</v>
      </c>
      <c r="S60" s="1">
        <v>46190</v>
      </c>
    </row>
    <row r="61" spans="1:20" x14ac:dyDescent="0.3">
      <c r="A61" t="s">
        <v>86</v>
      </c>
      <c r="B61">
        <v>2026</v>
      </c>
      <c r="C61" s="1">
        <v>46082</v>
      </c>
      <c r="D61" s="1">
        <v>46225</v>
      </c>
      <c r="E61" t="s">
        <v>21</v>
      </c>
      <c r="Q61" s="1"/>
      <c r="R61" s="1"/>
      <c r="S61" s="1"/>
    </row>
    <row r="62" spans="1:20" x14ac:dyDescent="0.3">
      <c r="A62" t="s">
        <v>87</v>
      </c>
      <c r="B62">
        <v>2026</v>
      </c>
      <c r="C62" s="1">
        <v>46082</v>
      </c>
      <c r="D62" s="1">
        <v>46225</v>
      </c>
      <c r="E62" t="s">
        <v>21</v>
      </c>
      <c r="Q62" s="1"/>
      <c r="R62" s="1"/>
      <c r="S62" s="1"/>
    </row>
    <row r="63" spans="1:20" x14ac:dyDescent="0.3">
      <c r="A63" t="s">
        <v>88</v>
      </c>
      <c r="B63">
        <v>2026</v>
      </c>
      <c r="C63" s="1">
        <v>46082</v>
      </c>
      <c r="D63" s="1">
        <v>46225</v>
      </c>
      <c r="E63" t="s">
        <v>19</v>
      </c>
      <c r="F63" t="s">
        <v>23</v>
      </c>
      <c r="G63" t="s">
        <v>24</v>
      </c>
      <c r="H63">
        <v>5</v>
      </c>
      <c r="I63">
        <v>4</v>
      </c>
      <c r="J63">
        <v>4</v>
      </c>
      <c r="K63">
        <f t="shared" ref="K63:K64" si="16">J63/H63</f>
        <v>0.8</v>
      </c>
      <c r="L63">
        <v>308054173</v>
      </c>
      <c r="M63">
        <v>304047036</v>
      </c>
      <c r="N63" t="s">
        <v>25</v>
      </c>
      <c r="O63" t="s">
        <v>20</v>
      </c>
      <c r="P63">
        <f t="shared" ref="P63:P64" si="17">MONTH(Q63)</f>
        <v>4</v>
      </c>
      <c r="Q63" s="1">
        <v>46134</v>
      </c>
      <c r="R63" s="1">
        <v>46149</v>
      </c>
      <c r="S63" s="1">
        <v>46160</v>
      </c>
    </row>
    <row r="64" spans="1:20" x14ac:dyDescent="0.3">
      <c r="A64" t="s">
        <v>88</v>
      </c>
      <c r="B64">
        <v>2026</v>
      </c>
      <c r="C64" s="1">
        <v>46082</v>
      </c>
      <c r="D64" s="1">
        <v>46225</v>
      </c>
      <c r="E64" t="s">
        <v>19</v>
      </c>
      <c r="F64" t="s">
        <v>23</v>
      </c>
      <c r="G64" t="s">
        <v>24</v>
      </c>
      <c r="H64">
        <v>4</v>
      </c>
      <c r="I64">
        <v>4</v>
      </c>
      <c r="J64">
        <v>4</v>
      </c>
      <c r="K64">
        <f t="shared" si="16"/>
        <v>1</v>
      </c>
      <c r="L64">
        <v>308054173</v>
      </c>
      <c r="M64">
        <v>304047036</v>
      </c>
      <c r="N64" t="s">
        <v>25</v>
      </c>
      <c r="O64" t="s">
        <v>20</v>
      </c>
      <c r="P64">
        <f t="shared" si="17"/>
        <v>6</v>
      </c>
      <c r="Q64" s="1">
        <v>46174</v>
      </c>
      <c r="R64" s="1">
        <v>46188</v>
      </c>
      <c r="S64" s="1">
        <v>46197</v>
      </c>
    </row>
    <row r="65" spans="1:20" x14ac:dyDescent="0.3">
      <c r="A65" t="s">
        <v>89</v>
      </c>
      <c r="B65">
        <v>2026</v>
      </c>
      <c r="C65" s="1">
        <v>46082</v>
      </c>
      <c r="D65" s="1">
        <v>46225</v>
      </c>
      <c r="E65" t="s">
        <v>21</v>
      </c>
      <c r="Q65" s="1"/>
      <c r="R65" s="1"/>
      <c r="S65" s="1"/>
    </row>
    <row r="66" spans="1:20" x14ac:dyDescent="0.3">
      <c r="A66" t="s">
        <v>90</v>
      </c>
      <c r="B66">
        <v>2026</v>
      </c>
      <c r="C66" s="1">
        <v>46082</v>
      </c>
      <c r="D66" s="1">
        <v>46225</v>
      </c>
      <c r="E66" t="s">
        <v>21</v>
      </c>
      <c r="Q66" s="1"/>
      <c r="R66" s="1"/>
      <c r="S66" s="1"/>
    </row>
    <row r="67" spans="1:20" x14ac:dyDescent="0.3">
      <c r="A67" t="s">
        <v>91</v>
      </c>
      <c r="B67">
        <v>2026</v>
      </c>
      <c r="C67" s="1">
        <v>46082</v>
      </c>
      <c r="D67" s="1">
        <v>46225</v>
      </c>
      <c r="E67" t="s">
        <v>19</v>
      </c>
      <c r="F67" t="s">
        <v>23</v>
      </c>
      <c r="G67" t="s">
        <v>24</v>
      </c>
      <c r="H67">
        <v>3</v>
      </c>
      <c r="I67">
        <v>1</v>
      </c>
      <c r="J67">
        <v>1</v>
      </c>
      <c r="K67">
        <f>J67/H67</f>
        <v>0.33333333333333331</v>
      </c>
      <c r="L67">
        <v>304047360</v>
      </c>
      <c r="N67" t="s">
        <v>25</v>
      </c>
      <c r="O67" t="s">
        <v>18</v>
      </c>
      <c r="P67">
        <f>MONTH(Q67)</f>
        <v>5</v>
      </c>
      <c r="Q67" s="1">
        <v>46156</v>
      </c>
      <c r="R67" s="1">
        <v>46168</v>
      </c>
      <c r="S67" s="1">
        <v>46150</v>
      </c>
    </row>
    <row r="68" spans="1:20" x14ac:dyDescent="0.3">
      <c r="A68" t="s">
        <v>92</v>
      </c>
      <c r="B68">
        <v>2026</v>
      </c>
      <c r="C68" s="1">
        <v>46082</v>
      </c>
      <c r="D68" s="1">
        <v>46225</v>
      </c>
      <c r="E68" t="s">
        <v>21</v>
      </c>
      <c r="Q68" s="1"/>
      <c r="R68" s="1"/>
      <c r="S68" s="1"/>
    </row>
    <row r="69" spans="1:20" x14ac:dyDescent="0.3">
      <c r="A69" t="s">
        <v>93</v>
      </c>
      <c r="B69">
        <v>2026</v>
      </c>
      <c r="C69" s="1">
        <v>46082</v>
      </c>
      <c r="D69" s="1">
        <v>46225</v>
      </c>
      <c r="E69" t="s">
        <v>19</v>
      </c>
      <c r="F69" t="s">
        <v>23</v>
      </c>
      <c r="G69" t="s">
        <v>24</v>
      </c>
      <c r="H69">
        <v>4</v>
      </c>
      <c r="J69">
        <v>3</v>
      </c>
      <c r="K69">
        <f>J69/H69</f>
        <v>0.75</v>
      </c>
      <c r="M69">
        <v>304047078</v>
      </c>
      <c r="N69" t="s">
        <v>18</v>
      </c>
      <c r="O69" t="s">
        <v>25</v>
      </c>
      <c r="P69">
        <f>MONTH(Q69)</f>
        <v>5</v>
      </c>
      <c r="Q69" s="1">
        <v>46143</v>
      </c>
      <c r="R69" s="1">
        <v>46157</v>
      </c>
      <c r="S69" s="1">
        <v>46168</v>
      </c>
    </row>
    <row r="70" spans="1:20" x14ac:dyDescent="0.3">
      <c r="A70" t="s">
        <v>94</v>
      </c>
      <c r="B70">
        <v>2026</v>
      </c>
      <c r="C70" s="1">
        <v>46082</v>
      </c>
      <c r="D70" s="1">
        <v>46225</v>
      </c>
      <c r="E70" t="s">
        <v>21</v>
      </c>
      <c r="Q70" s="1"/>
      <c r="R70" s="1"/>
      <c r="S70" s="1"/>
    </row>
    <row r="71" spans="1:20" x14ac:dyDescent="0.3">
      <c r="A71" t="s">
        <v>95</v>
      </c>
      <c r="B71">
        <v>2026</v>
      </c>
      <c r="C71" s="1">
        <v>46082</v>
      </c>
      <c r="D71" s="1">
        <v>46225</v>
      </c>
      <c r="E71" t="s">
        <v>19</v>
      </c>
      <c r="F71" t="s">
        <v>23</v>
      </c>
      <c r="G71" t="s">
        <v>24</v>
      </c>
      <c r="H71">
        <v>3</v>
      </c>
      <c r="I71">
        <v>2</v>
      </c>
      <c r="J71">
        <v>2</v>
      </c>
      <c r="K71">
        <f>J71/H71</f>
        <v>0.66666666666666663</v>
      </c>
      <c r="L71" s="2" t="s">
        <v>96</v>
      </c>
      <c r="M71">
        <v>304047095</v>
      </c>
      <c r="N71" t="s">
        <v>18</v>
      </c>
      <c r="O71" t="s">
        <v>25</v>
      </c>
      <c r="P71">
        <f>MONTH(Q71)</f>
        <v>5</v>
      </c>
      <c r="Q71" s="1">
        <v>46147</v>
      </c>
      <c r="R71" s="1">
        <v>46165</v>
      </c>
      <c r="S71" s="1">
        <v>46177</v>
      </c>
      <c r="T71" t="s">
        <v>97</v>
      </c>
    </row>
    <row r="72" spans="1:20" x14ac:dyDescent="0.3">
      <c r="A72" t="s">
        <v>98</v>
      </c>
      <c r="B72">
        <v>2026</v>
      </c>
      <c r="C72" s="1">
        <v>46082</v>
      </c>
      <c r="D72" s="1">
        <v>46225</v>
      </c>
      <c r="E72" t="s">
        <v>21</v>
      </c>
      <c r="Q72" s="1"/>
      <c r="R72" s="1"/>
      <c r="S72" s="1"/>
    </row>
    <row r="73" spans="1:20" x14ac:dyDescent="0.3">
      <c r="A73" t="s">
        <v>99</v>
      </c>
      <c r="B73">
        <v>2026</v>
      </c>
      <c r="C73" s="1">
        <v>46082</v>
      </c>
      <c r="D73" s="1">
        <v>46225</v>
      </c>
      <c r="E73" t="s">
        <v>21</v>
      </c>
      <c r="Q73" s="1"/>
      <c r="R73" s="1"/>
      <c r="S73" s="1"/>
    </row>
    <row r="74" spans="1:20" x14ac:dyDescent="0.3">
      <c r="A74" t="s">
        <v>100</v>
      </c>
      <c r="B74">
        <v>2026</v>
      </c>
      <c r="C74" s="1">
        <v>46082</v>
      </c>
      <c r="D74" s="1">
        <v>46225</v>
      </c>
      <c r="E74" t="s">
        <v>19</v>
      </c>
      <c r="F74" t="s">
        <v>27</v>
      </c>
      <c r="G74" t="s">
        <v>24</v>
      </c>
      <c r="H74">
        <v>5</v>
      </c>
      <c r="I74">
        <v>5</v>
      </c>
      <c r="J74">
        <v>5</v>
      </c>
      <c r="K74">
        <f t="shared" ref="K74:K77" si="18">J74/H74</f>
        <v>1</v>
      </c>
      <c r="N74" t="s">
        <v>18</v>
      </c>
      <c r="O74" t="s">
        <v>18</v>
      </c>
      <c r="P74">
        <f t="shared" ref="P74:P77" si="19">MONTH(Q74)</f>
        <v>4</v>
      </c>
      <c r="Q74" s="1">
        <v>46118</v>
      </c>
      <c r="R74" s="1">
        <v>46136</v>
      </c>
      <c r="S74" s="1">
        <v>46146</v>
      </c>
    </row>
    <row r="75" spans="1:20" x14ac:dyDescent="0.3">
      <c r="A75" t="s">
        <v>100</v>
      </c>
      <c r="B75">
        <v>2026</v>
      </c>
      <c r="C75" s="1">
        <v>46082</v>
      </c>
      <c r="D75" s="1">
        <v>46225</v>
      </c>
      <c r="E75" t="s">
        <v>19</v>
      </c>
      <c r="F75" t="s">
        <v>27</v>
      </c>
      <c r="G75" t="s">
        <v>24</v>
      </c>
      <c r="H75">
        <v>4</v>
      </c>
      <c r="I75">
        <v>3</v>
      </c>
      <c r="J75">
        <v>3</v>
      </c>
      <c r="K75">
        <f t="shared" si="18"/>
        <v>0.75</v>
      </c>
      <c r="N75" t="s">
        <v>18</v>
      </c>
      <c r="O75" t="s">
        <v>18</v>
      </c>
      <c r="P75">
        <f t="shared" si="19"/>
        <v>6</v>
      </c>
      <c r="Q75" s="1">
        <v>46188</v>
      </c>
      <c r="R75" s="1">
        <v>46206</v>
      </c>
      <c r="S75" s="1">
        <v>46220</v>
      </c>
    </row>
    <row r="76" spans="1:20" x14ac:dyDescent="0.3">
      <c r="A76" t="s">
        <v>101</v>
      </c>
      <c r="B76">
        <v>2026</v>
      </c>
      <c r="C76" s="1">
        <v>46082</v>
      </c>
      <c r="D76" s="1">
        <v>46225</v>
      </c>
      <c r="E76" t="s">
        <v>19</v>
      </c>
      <c r="F76" t="s">
        <v>23</v>
      </c>
      <c r="G76" t="s">
        <v>24</v>
      </c>
      <c r="H76">
        <v>4</v>
      </c>
      <c r="I76">
        <v>4</v>
      </c>
      <c r="J76">
        <v>4</v>
      </c>
      <c r="K76">
        <f t="shared" si="18"/>
        <v>1</v>
      </c>
      <c r="L76">
        <v>301052641</v>
      </c>
      <c r="M76">
        <v>304046894</v>
      </c>
      <c r="N76" t="s">
        <v>25</v>
      </c>
      <c r="O76" t="s">
        <v>38</v>
      </c>
      <c r="P76">
        <f t="shared" si="19"/>
        <v>5</v>
      </c>
      <c r="Q76" s="1">
        <v>46156</v>
      </c>
      <c r="R76" s="1">
        <v>46172</v>
      </c>
      <c r="S76" s="1">
        <v>46181</v>
      </c>
    </row>
    <row r="77" spans="1:20" x14ac:dyDescent="0.3">
      <c r="A77" t="s">
        <v>102</v>
      </c>
      <c r="B77">
        <v>2026</v>
      </c>
      <c r="C77" s="1">
        <v>46082</v>
      </c>
      <c r="D77" s="1">
        <v>46225</v>
      </c>
      <c r="E77" t="s">
        <v>19</v>
      </c>
      <c r="F77" t="s">
        <v>23</v>
      </c>
      <c r="G77" t="s">
        <v>215</v>
      </c>
      <c r="H77">
        <v>6</v>
      </c>
      <c r="I77">
        <v>6</v>
      </c>
      <c r="J77">
        <v>0</v>
      </c>
      <c r="K77">
        <f t="shared" si="18"/>
        <v>0</v>
      </c>
      <c r="L77">
        <v>304046962</v>
      </c>
      <c r="M77">
        <v>304046894</v>
      </c>
      <c r="N77" t="s">
        <v>63</v>
      </c>
      <c r="O77" t="s">
        <v>38</v>
      </c>
      <c r="P77">
        <f t="shared" si="19"/>
        <v>4</v>
      </c>
      <c r="Q77" s="1">
        <v>46126</v>
      </c>
      <c r="R77" s="1">
        <v>46143</v>
      </c>
      <c r="S77" s="1"/>
    </row>
    <row r="78" spans="1:20" x14ac:dyDescent="0.3">
      <c r="A78" t="s">
        <v>103</v>
      </c>
      <c r="B78">
        <v>2026</v>
      </c>
      <c r="C78" s="1">
        <v>46082</v>
      </c>
      <c r="D78" s="1">
        <v>46225</v>
      </c>
      <c r="E78" t="s">
        <v>21</v>
      </c>
      <c r="Q78" s="1"/>
      <c r="R78" s="1"/>
      <c r="S78" s="1"/>
    </row>
    <row r="79" spans="1:20" x14ac:dyDescent="0.3">
      <c r="A79" t="s">
        <v>104</v>
      </c>
      <c r="B79">
        <v>2026</v>
      </c>
      <c r="C79" s="1">
        <v>46082</v>
      </c>
      <c r="D79" s="1">
        <v>46225</v>
      </c>
      <c r="E79" t="s">
        <v>19</v>
      </c>
      <c r="F79" t="s">
        <v>27</v>
      </c>
      <c r="G79" t="s">
        <v>24</v>
      </c>
      <c r="H79">
        <v>4</v>
      </c>
      <c r="I79">
        <v>4</v>
      </c>
      <c r="J79">
        <v>4</v>
      </c>
      <c r="K79">
        <f>J79/H79</f>
        <v>1</v>
      </c>
      <c r="N79" t="s">
        <v>18</v>
      </c>
      <c r="O79" t="s">
        <v>18</v>
      </c>
      <c r="P79">
        <f>MONTH(Q79)</f>
        <v>4</v>
      </c>
      <c r="Q79" s="1">
        <v>46126</v>
      </c>
      <c r="R79" s="1">
        <v>46143</v>
      </c>
      <c r="S79" s="1">
        <v>46157</v>
      </c>
    </row>
    <row r="80" spans="1:20" x14ac:dyDescent="0.3">
      <c r="A80" t="s">
        <v>105</v>
      </c>
      <c r="B80">
        <v>2026</v>
      </c>
      <c r="C80" s="1">
        <v>46082</v>
      </c>
      <c r="D80" s="1">
        <v>46225</v>
      </c>
      <c r="E80" t="s">
        <v>21</v>
      </c>
      <c r="Q80" s="1"/>
      <c r="R80" s="1"/>
      <c r="S80" s="1"/>
    </row>
    <row r="81" spans="1:20" x14ac:dyDescent="0.3">
      <c r="A81" t="s">
        <v>106</v>
      </c>
      <c r="B81">
        <v>2026</v>
      </c>
      <c r="C81" s="1">
        <v>46082</v>
      </c>
      <c r="D81" s="1">
        <v>46225</v>
      </c>
      <c r="E81" t="s">
        <v>19</v>
      </c>
      <c r="F81" t="s">
        <v>27</v>
      </c>
      <c r="G81" t="s">
        <v>24</v>
      </c>
      <c r="H81">
        <v>5</v>
      </c>
      <c r="I81">
        <v>5</v>
      </c>
      <c r="J81">
        <v>5</v>
      </c>
      <c r="K81">
        <f t="shared" ref="K81:K83" si="20">J81/H81</f>
        <v>1</v>
      </c>
      <c r="N81" t="s">
        <v>18</v>
      </c>
      <c r="O81" t="s">
        <v>18</v>
      </c>
      <c r="P81">
        <f t="shared" ref="P81:P83" si="21">MONTH(Q81)</f>
        <v>3</v>
      </c>
      <c r="Q81" s="1">
        <v>46094</v>
      </c>
      <c r="R81" s="1">
        <v>46140</v>
      </c>
      <c r="S81" s="1">
        <v>46126</v>
      </c>
    </row>
    <row r="82" spans="1:20" x14ac:dyDescent="0.3">
      <c r="A82" t="s">
        <v>107</v>
      </c>
      <c r="B82">
        <v>2026</v>
      </c>
      <c r="C82" s="1">
        <v>46082</v>
      </c>
      <c r="D82" s="1">
        <v>46225</v>
      </c>
      <c r="E82" t="s">
        <v>19</v>
      </c>
      <c r="F82" t="s">
        <v>23</v>
      </c>
      <c r="G82" t="s">
        <v>24</v>
      </c>
      <c r="H82">
        <v>5</v>
      </c>
      <c r="I82">
        <v>4</v>
      </c>
      <c r="J82">
        <v>4</v>
      </c>
      <c r="K82">
        <f t="shared" si="20"/>
        <v>0.8</v>
      </c>
      <c r="L82">
        <v>301016112</v>
      </c>
      <c r="M82">
        <v>304047017</v>
      </c>
      <c r="N82" t="s">
        <v>25</v>
      </c>
      <c r="O82" t="s">
        <v>25</v>
      </c>
      <c r="P82">
        <f t="shared" si="21"/>
        <v>4</v>
      </c>
      <c r="Q82" s="1">
        <v>46137</v>
      </c>
      <c r="R82" s="1">
        <v>46152</v>
      </c>
      <c r="S82" s="1">
        <v>46163</v>
      </c>
    </row>
    <row r="83" spans="1:20" x14ac:dyDescent="0.3">
      <c r="A83" t="s">
        <v>107</v>
      </c>
      <c r="B83">
        <v>2026</v>
      </c>
      <c r="C83" s="1">
        <v>46082</v>
      </c>
      <c r="D83" s="1">
        <v>46225</v>
      </c>
      <c r="E83" t="s">
        <v>19</v>
      </c>
      <c r="F83" t="s">
        <v>23</v>
      </c>
      <c r="G83" t="s">
        <v>218</v>
      </c>
      <c r="H83">
        <v>4</v>
      </c>
      <c r="I83">
        <v>4</v>
      </c>
      <c r="J83">
        <v>0</v>
      </c>
      <c r="K83">
        <f t="shared" si="20"/>
        <v>0</v>
      </c>
      <c r="L83">
        <v>301016112</v>
      </c>
      <c r="M83">
        <v>304047017</v>
      </c>
      <c r="N83" t="s">
        <v>25</v>
      </c>
      <c r="O83" t="s">
        <v>25</v>
      </c>
      <c r="P83">
        <f t="shared" si="21"/>
        <v>6</v>
      </c>
      <c r="Q83" s="1">
        <v>46179</v>
      </c>
      <c r="R83" s="1">
        <v>46193</v>
      </c>
      <c r="S83" s="1"/>
      <c r="T83" t="s">
        <v>108</v>
      </c>
    </row>
    <row r="84" spans="1:20" x14ac:dyDescent="0.3">
      <c r="A84" t="s">
        <v>109</v>
      </c>
      <c r="B84">
        <v>2026</v>
      </c>
      <c r="C84" s="1">
        <v>46082</v>
      </c>
      <c r="D84" s="1">
        <v>46225</v>
      </c>
      <c r="E84" t="s">
        <v>21</v>
      </c>
      <c r="Q84" s="1"/>
      <c r="R84" s="1"/>
      <c r="S84" s="1"/>
    </row>
    <row r="85" spans="1:20" x14ac:dyDescent="0.3">
      <c r="A85" t="s">
        <v>110</v>
      </c>
      <c r="B85">
        <v>2026</v>
      </c>
      <c r="C85" s="1">
        <v>46082</v>
      </c>
      <c r="D85" s="1">
        <v>46225</v>
      </c>
      <c r="E85" t="s">
        <v>19</v>
      </c>
      <c r="F85" t="s">
        <v>23</v>
      </c>
      <c r="G85" t="s">
        <v>111</v>
      </c>
      <c r="H85">
        <v>4</v>
      </c>
      <c r="I85">
        <v>3</v>
      </c>
      <c r="J85">
        <v>0</v>
      </c>
      <c r="K85">
        <f t="shared" ref="K85:K86" si="22">J85/H85</f>
        <v>0</v>
      </c>
      <c r="L85">
        <v>304046895</v>
      </c>
      <c r="M85">
        <v>301052623</v>
      </c>
      <c r="N85" t="s">
        <v>63</v>
      </c>
      <c r="O85" t="s">
        <v>29</v>
      </c>
      <c r="P85">
        <f t="shared" ref="P85:P86" si="23">MONTH(Q85)</f>
        <v>6</v>
      </c>
      <c r="Q85" s="1">
        <v>46191</v>
      </c>
      <c r="R85" s="1">
        <v>46206</v>
      </c>
      <c r="S85" s="1"/>
      <c r="T85" t="s">
        <v>112</v>
      </c>
    </row>
    <row r="86" spans="1:20" x14ac:dyDescent="0.3">
      <c r="A86" t="s">
        <v>113</v>
      </c>
      <c r="B86">
        <v>2026</v>
      </c>
      <c r="C86" s="1">
        <v>46082</v>
      </c>
      <c r="D86" s="1">
        <v>46225</v>
      </c>
      <c r="E86" t="s">
        <v>19</v>
      </c>
      <c r="F86" t="s">
        <v>27</v>
      </c>
      <c r="G86" t="s">
        <v>24</v>
      </c>
      <c r="H86">
        <v>4</v>
      </c>
      <c r="I86">
        <v>4</v>
      </c>
      <c r="J86">
        <v>4</v>
      </c>
      <c r="K86">
        <f t="shared" si="22"/>
        <v>1</v>
      </c>
      <c r="N86" t="s">
        <v>18</v>
      </c>
      <c r="O86" t="s">
        <v>18</v>
      </c>
      <c r="P86">
        <f t="shared" si="23"/>
        <v>5</v>
      </c>
      <c r="Q86" s="1">
        <v>46162</v>
      </c>
      <c r="R86" s="1">
        <v>46174</v>
      </c>
      <c r="S86" s="1">
        <v>46187</v>
      </c>
    </row>
    <row r="87" spans="1:20" x14ac:dyDescent="0.3">
      <c r="A87" t="s">
        <v>114</v>
      </c>
      <c r="B87">
        <v>2026</v>
      </c>
      <c r="C87" s="1">
        <v>46082</v>
      </c>
      <c r="D87" s="1">
        <v>46225</v>
      </c>
      <c r="E87" t="s">
        <v>21</v>
      </c>
      <c r="Q87" s="1"/>
      <c r="R87" s="1"/>
      <c r="S87" s="1"/>
    </row>
    <row r="88" spans="1:20" x14ac:dyDescent="0.3">
      <c r="A88" t="s">
        <v>115</v>
      </c>
      <c r="B88">
        <v>2026</v>
      </c>
      <c r="C88" s="1">
        <v>46082</v>
      </c>
      <c r="D88" s="1">
        <v>46225</v>
      </c>
      <c r="E88" t="s">
        <v>19</v>
      </c>
      <c r="F88" t="s">
        <v>23</v>
      </c>
      <c r="G88" t="s">
        <v>24</v>
      </c>
      <c r="H88">
        <v>6</v>
      </c>
      <c r="I88">
        <v>6</v>
      </c>
      <c r="J88">
        <v>6</v>
      </c>
      <c r="K88">
        <f>J88/H88</f>
        <v>1</v>
      </c>
      <c r="L88">
        <v>304047017</v>
      </c>
      <c r="M88">
        <v>304047176</v>
      </c>
      <c r="N88" t="s">
        <v>36</v>
      </c>
      <c r="O88" t="s">
        <v>36</v>
      </c>
      <c r="P88">
        <f>MONTH(Q88)</f>
        <v>4</v>
      </c>
      <c r="Q88" s="1">
        <v>46129</v>
      </c>
      <c r="R88" s="1">
        <v>46146</v>
      </c>
      <c r="S88" s="1">
        <v>46155</v>
      </c>
    </row>
    <row r="89" spans="1:20" x14ac:dyDescent="0.3">
      <c r="A89" t="s">
        <v>116</v>
      </c>
      <c r="B89">
        <v>2026</v>
      </c>
      <c r="C89" s="1">
        <v>46082</v>
      </c>
      <c r="D89" s="1">
        <v>46225</v>
      </c>
      <c r="E89" t="s">
        <v>21</v>
      </c>
      <c r="Q89" s="1"/>
      <c r="R89" s="1"/>
      <c r="S89" s="1"/>
    </row>
    <row r="90" spans="1:20" x14ac:dyDescent="0.3">
      <c r="A90" t="s">
        <v>117</v>
      </c>
      <c r="B90">
        <v>2026</v>
      </c>
      <c r="C90" s="1">
        <v>46082</v>
      </c>
      <c r="D90" s="1">
        <v>46225</v>
      </c>
      <c r="E90" t="s">
        <v>21</v>
      </c>
      <c r="Q90" s="1"/>
      <c r="R90" s="1"/>
      <c r="S90" s="1"/>
    </row>
    <row r="91" spans="1:20" x14ac:dyDescent="0.3">
      <c r="A91" t="s">
        <v>118</v>
      </c>
      <c r="B91">
        <v>2026</v>
      </c>
      <c r="C91" s="1">
        <v>46082</v>
      </c>
      <c r="D91" s="1">
        <v>46226</v>
      </c>
      <c r="E91" t="s">
        <v>21</v>
      </c>
      <c r="Q91" s="1"/>
      <c r="R91" s="1"/>
      <c r="S91" s="1"/>
    </row>
    <row r="92" spans="1:20" x14ac:dyDescent="0.3">
      <c r="A92" t="s">
        <v>119</v>
      </c>
      <c r="B92">
        <v>2026</v>
      </c>
      <c r="C92" s="1">
        <v>46082</v>
      </c>
      <c r="D92" s="1">
        <v>46226</v>
      </c>
      <c r="E92" t="s">
        <v>19</v>
      </c>
      <c r="F92" t="s">
        <v>27</v>
      </c>
      <c r="G92" t="s">
        <v>24</v>
      </c>
      <c r="H92">
        <v>6</v>
      </c>
      <c r="I92">
        <v>6</v>
      </c>
      <c r="J92">
        <v>6</v>
      </c>
      <c r="K92">
        <f>J92/H92</f>
        <v>1</v>
      </c>
      <c r="N92" t="s">
        <v>18</v>
      </c>
      <c r="O92" t="s">
        <v>18</v>
      </c>
      <c r="P92">
        <f>MONTH(Q92)</f>
        <v>6</v>
      </c>
      <c r="Q92" s="1">
        <v>46174</v>
      </c>
      <c r="R92" s="1">
        <v>46195</v>
      </c>
      <c r="S92" s="1">
        <v>46206</v>
      </c>
      <c r="T92" t="s">
        <v>120</v>
      </c>
    </row>
    <row r="93" spans="1:20" x14ac:dyDescent="0.3">
      <c r="A93" t="s">
        <v>121</v>
      </c>
      <c r="B93">
        <v>2026</v>
      </c>
      <c r="C93" s="1">
        <v>46082</v>
      </c>
      <c r="D93" s="1">
        <v>46226</v>
      </c>
      <c r="E93" t="s">
        <v>21</v>
      </c>
      <c r="Q93" s="1"/>
      <c r="R93" s="1"/>
      <c r="S93" s="1"/>
    </row>
    <row r="94" spans="1:20" x14ac:dyDescent="0.3">
      <c r="A94" t="s">
        <v>122</v>
      </c>
      <c r="B94">
        <v>2026</v>
      </c>
      <c r="C94" s="1">
        <v>46082</v>
      </c>
      <c r="D94" s="1">
        <v>46226</v>
      </c>
      <c r="E94" t="s">
        <v>19</v>
      </c>
      <c r="F94" t="s">
        <v>27</v>
      </c>
      <c r="G94" t="s">
        <v>24</v>
      </c>
      <c r="H94">
        <v>6</v>
      </c>
      <c r="I94">
        <v>6</v>
      </c>
      <c r="J94">
        <v>6</v>
      </c>
      <c r="K94">
        <f t="shared" ref="K94:K96" si="24">J94/H94</f>
        <v>1</v>
      </c>
      <c r="N94" t="s">
        <v>18</v>
      </c>
      <c r="O94" t="s">
        <v>18</v>
      </c>
      <c r="P94">
        <f t="shared" ref="P94:P96" si="25">MONTH(Q94)</f>
        <v>4</v>
      </c>
      <c r="Q94" s="1">
        <v>46115</v>
      </c>
      <c r="R94" s="1">
        <v>46135</v>
      </c>
      <c r="S94" s="1">
        <v>46150</v>
      </c>
    </row>
    <row r="95" spans="1:20" x14ac:dyDescent="0.3">
      <c r="A95" t="s">
        <v>123</v>
      </c>
      <c r="B95">
        <v>2026</v>
      </c>
      <c r="C95" s="1">
        <v>46082</v>
      </c>
      <c r="D95" s="1">
        <v>46226</v>
      </c>
      <c r="E95" t="s">
        <v>19</v>
      </c>
      <c r="F95" t="s">
        <v>27</v>
      </c>
      <c r="G95" t="s">
        <v>24</v>
      </c>
      <c r="H95">
        <v>5</v>
      </c>
      <c r="I95">
        <v>3</v>
      </c>
      <c r="J95">
        <v>3</v>
      </c>
      <c r="K95">
        <f t="shared" si="24"/>
        <v>0.6</v>
      </c>
      <c r="N95" t="s">
        <v>18</v>
      </c>
      <c r="O95" t="s">
        <v>18</v>
      </c>
      <c r="P95">
        <f t="shared" si="25"/>
        <v>3</v>
      </c>
      <c r="Q95" s="1">
        <v>46093</v>
      </c>
      <c r="R95" s="1">
        <v>46113</v>
      </c>
      <c r="S95" s="1">
        <v>46126</v>
      </c>
    </row>
    <row r="96" spans="1:20" x14ac:dyDescent="0.3">
      <c r="A96" t="s">
        <v>123</v>
      </c>
      <c r="B96">
        <v>2026</v>
      </c>
      <c r="C96" s="1">
        <v>46082</v>
      </c>
      <c r="D96" s="1">
        <v>46226</v>
      </c>
      <c r="E96" t="s">
        <v>19</v>
      </c>
      <c r="F96" t="s">
        <v>27</v>
      </c>
      <c r="G96" t="s">
        <v>24</v>
      </c>
      <c r="H96">
        <v>5</v>
      </c>
      <c r="I96">
        <v>4</v>
      </c>
      <c r="J96">
        <v>4</v>
      </c>
      <c r="K96">
        <f t="shared" si="24"/>
        <v>0.8</v>
      </c>
      <c r="N96" t="s">
        <v>18</v>
      </c>
      <c r="O96" t="s">
        <v>18</v>
      </c>
      <c r="P96">
        <f t="shared" si="25"/>
        <v>5</v>
      </c>
      <c r="Q96" s="1">
        <v>46162</v>
      </c>
      <c r="R96" s="1">
        <v>46178</v>
      </c>
      <c r="S96" s="1">
        <v>46194</v>
      </c>
    </row>
    <row r="97" spans="1:20" x14ac:dyDescent="0.3">
      <c r="A97" t="s">
        <v>124</v>
      </c>
      <c r="B97">
        <v>2026</v>
      </c>
      <c r="C97" s="1">
        <v>46082</v>
      </c>
      <c r="D97" s="1">
        <v>46226</v>
      </c>
      <c r="E97" t="s">
        <v>21</v>
      </c>
      <c r="Q97" s="1"/>
      <c r="R97" s="1"/>
      <c r="S97" s="1"/>
    </row>
    <row r="98" spans="1:20" x14ac:dyDescent="0.3">
      <c r="A98" t="s">
        <v>125</v>
      </c>
      <c r="B98">
        <v>2026</v>
      </c>
      <c r="C98" s="1">
        <v>46082</v>
      </c>
      <c r="D98" s="1">
        <v>46226</v>
      </c>
      <c r="E98" t="s">
        <v>19</v>
      </c>
      <c r="F98" t="s">
        <v>27</v>
      </c>
      <c r="G98" t="s">
        <v>24</v>
      </c>
      <c r="H98">
        <v>5</v>
      </c>
      <c r="I98">
        <v>2</v>
      </c>
      <c r="J98">
        <v>2</v>
      </c>
      <c r="K98">
        <f t="shared" ref="K98:K99" si="26">J98/H98</f>
        <v>0.4</v>
      </c>
      <c r="N98" t="s">
        <v>18</v>
      </c>
      <c r="O98" t="s">
        <v>18</v>
      </c>
      <c r="P98">
        <f t="shared" ref="P98:P99" si="27">MONTH(Q98)</f>
        <v>3</v>
      </c>
      <c r="Q98" s="1">
        <v>46093</v>
      </c>
      <c r="R98" s="1">
        <v>46114</v>
      </c>
      <c r="S98" s="1">
        <v>46127</v>
      </c>
    </row>
    <row r="99" spans="1:20" x14ac:dyDescent="0.3">
      <c r="A99" t="s">
        <v>125</v>
      </c>
      <c r="B99">
        <v>2026</v>
      </c>
      <c r="C99" s="1">
        <v>46082</v>
      </c>
      <c r="D99" s="1">
        <v>46226</v>
      </c>
      <c r="E99" t="s">
        <v>19</v>
      </c>
      <c r="F99" t="s">
        <v>27</v>
      </c>
      <c r="G99" t="s">
        <v>24</v>
      </c>
      <c r="H99">
        <v>5</v>
      </c>
      <c r="I99">
        <v>4</v>
      </c>
      <c r="J99">
        <v>4</v>
      </c>
      <c r="K99">
        <f t="shared" si="26"/>
        <v>0.8</v>
      </c>
      <c r="N99" t="s">
        <v>18</v>
      </c>
      <c r="O99" t="s">
        <v>18</v>
      </c>
      <c r="P99">
        <f t="shared" si="27"/>
        <v>5</v>
      </c>
      <c r="Q99" s="1">
        <v>46162</v>
      </c>
      <c r="R99" s="1">
        <v>46174</v>
      </c>
      <c r="S99" s="1">
        <v>46196</v>
      </c>
    </row>
    <row r="100" spans="1:20" x14ac:dyDescent="0.3">
      <c r="A100" t="s">
        <v>126</v>
      </c>
      <c r="B100">
        <v>2026</v>
      </c>
      <c r="C100" s="1">
        <v>46082</v>
      </c>
      <c r="D100" s="1">
        <v>46226</v>
      </c>
      <c r="E100" t="s">
        <v>21</v>
      </c>
      <c r="Q100" s="1"/>
      <c r="R100" s="1"/>
      <c r="S100" s="1"/>
    </row>
    <row r="101" spans="1:20" x14ac:dyDescent="0.3">
      <c r="A101" t="s">
        <v>127</v>
      </c>
      <c r="B101">
        <v>2026</v>
      </c>
      <c r="C101" s="1">
        <v>46082</v>
      </c>
      <c r="D101" s="1">
        <v>46226</v>
      </c>
      <c r="E101" t="s">
        <v>21</v>
      </c>
      <c r="Q101" s="1"/>
      <c r="R101" s="1"/>
      <c r="S101" s="1"/>
    </row>
    <row r="102" spans="1:20" x14ac:dyDescent="0.3">
      <c r="A102" t="s">
        <v>128</v>
      </c>
      <c r="B102">
        <v>2026</v>
      </c>
      <c r="C102" s="1">
        <v>46082</v>
      </c>
      <c r="D102" s="1">
        <v>46226</v>
      </c>
      <c r="E102" t="s">
        <v>19</v>
      </c>
      <c r="F102" t="s">
        <v>27</v>
      </c>
      <c r="G102" t="s">
        <v>111</v>
      </c>
      <c r="H102">
        <v>4</v>
      </c>
      <c r="I102">
        <v>4</v>
      </c>
      <c r="K102">
        <f>J102/H102</f>
        <v>0</v>
      </c>
      <c r="N102" t="s">
        <v>18</v>
      </c>
      <c r="O102" t="s">
        <v>18</v>
      </c>
      <c r="P102">
        <f>MONTH(Q102)</f>
        <v>5</v>
      </c>
      <c r="Q102" s="1">
        <v>46165</v>
      </c>
      <c r="R102" s="1">
        <v>46181</v>
      </c>
      <c r="S102" s="1"/>
    </row>
    <row r="103" spans="1:20" x14ac:dyDescent="0.3">
      <c r="A103" t="s">
        <v>129</v>
      </c>
      <c r="B103">
        <v>2026</v>
      </c>
      <c r="C103" s="1">
        <v>46082</v>
      </c>
      <c r="D103" s="1">
        <v>46226</v>
      </c>
      <c r="E103" t="s">
        <v>21</v>
      </c>
      <c r="Q103" s="1"/>
      <c r="R103" s="1"/>
      <c r="S103" s="1"/>
    </row>
    <row r="104" spans="1:20" x14ac:dyDescent="0.3">
      <c r="A104" t="s">
        <v>130</v>
      </c>
      <c r="B104">
        <v>2026</v>
      </c>
      <c r="C104" s="1">
        <v>46082</v>
      </c>
      <c r="D104" s="1">
        <v>46226</v>
      </c>
      <c r="E104" t="s">
        <v>19</v>
      </c>
      <c r="F104" t="s">
        <v>23</v>
      </c>
      <c r="G104" t="s">
        <v>24</v>
      </c>
      <c r="H104">
        <v>5</v>
      </c>
      <c r="I104">
        <v>3</v>
      </c>
      <c r="J104">
        <v>3</v>
      </c>
      <c r="K104">
        <f t="shared" ref="K104:K112" si="28">J104/H104</f>
        <v>0.6</v>
      </c>
      <c r="L104">
        <v>199020854</v>
      </c>
      <c r="M104">
        <v>304047356</v>
      </c>
      <c r="N104" t="s">
        <v>38</v>
      </c>
      <c r="O104" t="s">
        <v>25</v>
      </c>
      <c r="P104">
        <f t="shared" ref="P104:P112" si="29">MONTH(Q104)</f>
        <v>5</v>
      </c>
      <c r="Q104" s="1">
        <v>46166</v>
      </c>
      <c r="R104" s="1">
        <v>46184</v>
      </c>
      <c r="S104" s="1">
        <v>46193</v>
      </c>
    </row>
    <row r="105" spans="1:20" x14ac:dyDescent="0.3">
      <c r="A105" t="s">
        <v>131</v>
      </c>
      <c r="B105">
        <v>2026</v>
      </c>
      <c r="C105" s="1">
        <v>46082</v>
      </c>
      <c r="D105" s="1">
        <v>46223</v>
      </c>
      <c r="E105" t="s">
        <v>19</v>
      </c>
      <c r="F105" t="s">
        <v>23</v>
      </c>
      <c r="G105" t="s">
        <v>214</v>
      </c>
      <c r="H105">
        <v>5</v>
      </c>
      <c r="I105">
        <v>0</v>
      </c>
      <c r="J105">
        <v>0</v>
      </c>
      <c r="K105">
        <f t="shared" si="28"/>
        <v>0</v>
      </c>
      <c r="M105">
        <v>304047230</v>
      </c>
      <c r="N105" t="s">
        <v>18</v>
      </c>
      <c r="O105" t="s">
        <v>38</v>
      </c>
      <c r="P105">
        <f t="shared" si="29"/>
        <v>4</v>
      </c>
      <c r="Q105" s="1">
        <v>46135</v>
      </c>
      <c r="R105" s="1"/>
      <c r="S105" s="1"/>
    </row>
    <row r="106" spans="1:20" x14ac:dyDescent="0.3">
      <c r="A106" t="s">
        <v>131</v>
      </c>
      <c r="B106">
        <v>2026</v>
      </c>
      <c r="C106" s="1">
        <v>46082</v>
      </c>
      <c r="D106" s="1">
        <v>46223</v>
      </c>
      <c r="E106" t="s">
        <v>19</v>
      </c>
      <c r="F106" t="s">
        <v>23</v>
      </c>
      <c r="G106" t="s">
        <v>215</v>
      </c>
      <c r="H106">
        <v>6</v>
      </c>
      <c r="I106">
        <v>0</v>
      </c>
      <c r="J106">
        <v>0</v>
      </c>
      <c r="K106">
        <f t="shared" si="28"/>
        <v>0</v>
      </c>
      <c r="L106">
        <v>304047368</v>
      </c>
      <c r="M106">
        <v>304047371</v>
      </c>
      <c r="N106" t="s">
        <v>20</v>
      </c>
      <c r="O106" t="s">
        <v>20</v>
      </c>
      <c r="P106">
        <f t="shared" si="29"/>
        <v>6</v>
      </c>
      <c r="Q106" s="1">
        <v>46174</v>
      </c>
      <c r="R106" s="1"/>
      <c r="S106" s="1"/>
      <c r="T106" t="s">
        <v>132</v>
      </c>
    </row>
    <row r="107" spans="1:20" x14ac:dyDescent="0.3">
      <c r="A107" t="s">
        <v>133</v>
      </c>
      <c r="B107">
        <v>2026</v>
      </c>
      <c r="C107" s="1">
        <v>46082</v>
      </c>
      <c r="D107" s="1">
        <v>46223</v>
      </c>
      <c r="E107" t="s">
        <v>19</v>
      </c>
      <c r="F107" t="s">
        <v>23</v>
      </c>
      <c r="G107" t="s">
        <v>24</v>
      </c>
      <c r="H107">
        <v>4</v>
      </c>
      <c r="I107">
        <v>4</v>
      </c>
      <c r="J107">
        <v>4</v>
      </c>
      <c r="K107">
        <f t="shared" si="28"/>
        <v>1</v>
      </c>
      <c r="L107">
        <v>308054055</v>
      </c>
      <c r="M107">
        <v>304046900</v>
      </c>
      <c r="N107" t="s">
        <v>38</v>
      </c>
      <c r="O107" t="s">
        <v>38</v>
      </c>
      <c r="P107">
        <f t="shared" si="29"/>
        <v>5</v>
      </c>
      <c r="Q107" s="1">
        <v>46170</v>
      </c>
      <c r="R107" s="1">
        <v>46186</v>
      </c>
      <c r="S107" s="1">
        <v>46195</v>
      </c>
    </row>
    <row r="108" spans="1:20" x14ac:dyDescent="0.3">
      <c r="A108" t="s">
        <v>134</v>
      </c>
      <c r="B108">
        <v>2026</v>
      </c>
      <c r="C108" s="1">
        <v>46082</v>
      </c>
      <c r="D108" s="1">
        <v>46223</v>
      </c>
      <c r="E108" t="s">
        <v>19</v>
      </c>
      <c r="F108" t="s">
        <v>23</v>
      </c>
      <c r="G108" t="s">
        <v>215</v>
      </c>
      <c r="H108">
        <v>4</v>
      </c>
      <c r="I108">
        <v>0</v>
      </c>
      <c r="J108">
        <v>0</v>
      </c>
      <c r="K108">
        <f t="shared" si="28"/>
        <v>0</v>
      </c>
      <c r="N108" t="s">
        <v>18</v>
      </c>
      <c r="O108" t="s">
        <v>18</v>
      </c>
      <c r="P108">
        <f t="shared" si="29"/>
        <v>6</v>
      </c>
      <c r="Q108" s="1">
        <v>46176</v>
      </c>
      <c r="R108" s="1"/>
      <c r="S108" s="1"/>
    </row>
    <row r="109" spans="1:20" x14ac:dyDescent="0.3">
      <c r="A109" t="s">
        <v>135</v>
      </c>
      <c r="B109">
        <v>2026</v>
      </c>
      <c r="C109" s="1">
        <v>46082</v>
      </c>
      <c r="D109" s="1">
        <v>46223</v>
      </c>
      <c r="E109" t="s">
        <v>19</v>
      </c>
      <c r="F109" t="s">
        <v>23</v>
      </c>
      <c r="G109" t="s">
        <v>215</v>
      </c>
      <c r="H109">
        <v>5</v>
      </c>
      <c r="I109">
        <v>5</v>
      </c>
      <c r="J109">
        <v>0</v>
      </c>
      <c r="K109">
        <f t="shared" si="28"/>
        <v>0</v>
      </c>
      <c r="L109">
        <v>304047015</v>
      </c>
      <c r="M109">
        <v>304047298</v>
      </c>
      <c r="N109" t="s">
        <v>20</v>
      </c>
      <c r="O109" t="s">
        <v>38</v>
      </c>
      <c r="P109">
        <f t="shared" si="29"/>
        <v>4</v>
      </c>
      <c r="Q109" s="1">
        <v>46127</v>
      </c>
      <c r="R109" s="1">
        <v>46144</v>
      </c>
      <c r="S109" s="1"/>
    </row>
    <row r="110" spans="1:20" x14ac:dyDescent="0.3">
      <c r="A110" t="s">
        <v>136</v>
      </c>
      <c r="B110">
        <v>2026</v>
      </c>
      <c r="C110" s="1">
        <v>46082</v>
      </c>
      <c r="D110" s="1">
        <v>46223</v>
      </c>
      <c r="E110" t="s">
        <v>19</v>
      </c>
      <c r="F110" t="s">
        <v>23</v>
      </c>
      <c r="G110" t="s">
        <v>24</v>
      </c>
      <c r="H110">
        <v>4</v>
      </c>
      <c r="I110">
        <v>4</v>
      </c>
      <c r="J110">
        <v>4</v>
      </c>
      <c r="K110">
        <f t="shared" si="28"/>
        <v>1</v>
      </c>
      <c r="M110">
        <v>304047185</v>
      </c>
      <c r="N110" t="s">
        <v>18</v>
      </c>
      <c r="O110" t="s">
        <v>36</v>
      </c>
      <c r="P110">
        <f t="shared" si="29"/>
        <v>5</v>
      </c>
      <c r="Q110" s="1">
        <v>46171</v>
      </c>
      <c r="R110" s="1">
        <v>46187</v>
      </c>
      <c r="S110" s="1">
        <v>46197</v>
      </c>
    </row>
    <row r="111" spans="1:20" x14ac:dyDescent="0.3">
      <c r="A111" t="s">
        <v>137</v>
      </c>
      <c r="B111">
        <v>2026</v>
      </c>
      <c r="C111" s="1">
        <v>46082</v>
      </c>
      <c r="D111" s="1">
        <v>46223</v>
      </c>
      <c r="E111" t="s">
        <v>19</v>
      </c>
      <c r="F111" t="s">
        <v>23</v>
      </c>
      <c r="G111" t="s">
        <v>24</v>
      </c>
      <c r="H111">
        <v>4</v>
      </c>
      <c r="I111">
        <v>4</v>
      </c>
      <c r="J111">
        <v>4</v>
      </c>
      <c r="K111">
        <f t="shared" si="28"/>
        <v>1</v>
      </c>
      <c r="M111">
        <v>304046879</v>
      </c>
      <c r="N111" t="s">
        <v>18</v>
      </c>
      <c r="O111" t="s">
        <v>36</v>
      </c>
      <c r="P111">
        <f t="shared" si="29"/>
        <v>5</v>
      </c>
      <c r="Q111" s="1">
        <v>46162</v>
      </c>
      <c r="R111" s="1">
        <v>46178</v>
      </c>
      <c r="S111" s="1">
        <v>46188</v>
      </c>
    </row>
    <row r="112" spans="1:20" x14ac:dyDescent="0.3">
      <c r="A112" t="s">
        <v>138</v>
      </c>
      <c r="B112">
        <v>2026</v>
      </c>
      <c r="C112" s="1">
        <v>46082</v>
      </c>
      <c r="D112" s="1">
        <v>46223</v>
      </c>
      <c r="E112" t="s">
        <v>19</v>
      </c>
      <c r="F112" t="s">
        <v>23</v>
      </c>
      <c r="G112" t="s">
        <v>213</v>
      </c>
      <c r="H112">
        <v>5</v>
      </c>
      <c r="I112">
        <v>3</v>
      </c>
      <c r="J112">
        <v>0</v>
      </c>
      <c r="K112">
        <f t="shared" si="28"/>
        <v>0</v>
      </c>
      <c r="M112">
        <v>304047306</v>
      </c>
      <c r="N112" t="s">
        <v>18</v>
      </c>
      <c r="O112" t="s">
        <v>25</v>
      </c>
      <c r="P112">
        <f t="shared" si="29"/>
        <v>4</v>
      </c>
      <c r="Q112" s="1">
        <v>46141</v>
      </c>
      <c r="R112" s="1">
        <v>46158</v>
      </c>
      <c r="S112" s="1"/>
      <c r="T112" t="s">
        <v>139</v>
      </c>
    </row>
    <row r="113" spans="1:20" x14ac:dyDescent="0.3">
      <c r="A113" t="s">
        <v>140</v>
      </c>
      <c r="B113">
        <v>2026</v>
      </c>
      <c r="C113" s="1">
        <v>46082</v>
      </c>
      <c r="D113" s="1">
        <v>46223</v>
      </c>
      <c r="E113" t="s">
        <v>21</v>
      </c>
      <c r="Q113" s="1"/>
      <c r="R113" s="1"/>
      <c r="S113" s="1"/>
    </row>
    <row r="114" spans="1:20" x14ac:dyDescent="0.3">
      <c r="A114" t="s">
        <v>141</v>
      </c>
      <c r="B114">
        <v>2026</v>
      </c>
      <c r="C114" s="1">
        <v>46082</v>
      </c>
      <c r="D114" s="1">
        <v>46223</v>
      </c>
      <c r="E114" t="s">
        <v>19</v>
      </c>
      <c r="F114" t="s">
        <v>23</v>
      </c>
      <c r="G114" t="s">
        <v>215</v>
      </c>
      <c r="H114">
        <v>4</v>
      </c>
      <c r="I114">
        <v>0</v>
      </c>
      <c r="J114">
        <v>0</v>
      </c>
      <c r="K114">
        <f t="shared" ref="K114:K119" si="30">J114/H114</f>
        <v>0</v>
      </c>
      <c r="M114">
        <v>304047305</v>
      </c>
      <c r="N114" t="s">
        <v>18</v>
      </c>
      <c r="O114" t="s">
        <v>25</v>
      </c>
      <c r="P114">
        <f t="shared" ref="P114:P119" si="31">MONTH(Q114)</f>
        <v>6</v>
      </c>
      <c r="Q114" s="1">
        <v>46181</v>
      </c>
      <c r="R114" s="1"/>
      <c r="S114" s="1"/>
    </row>
    <row r="115" spans="1:20" x14ac:dyDescent="0.3">
      <c r="A115" t="s">
        <v>142</v>
      </c>
      <c r="B115">
        <v>2026</v>
      </c>
      <c r="C115" s="1">
        <v>46082</v>
      </c>
      <c r="D115" s="1">
        <v>46223</v>
      </c>
      <c r="E115" t="s">
        <v>19</v>
      </c>
      <c r="F115" t="s">
        <v>23</v>
      </c>
      <c r="G115" t="s">
        <v>214</v>
      </c>
      <c r="H115">
        <v>5</v>
      </c>
      <c r="I115">
        <v>5</v>
      </c>
      <c r="J115">
        <v>0</v>
      </c>
      <c r="K115">
        <f t="shared" si="30"/>
        <v>0</v>
      </c>
      <c r="M115">
        <v>304047305</v>
      </c>
      <c r="N115" t="s">
        <v>18</v>
      </c>
      <c r="O115" t="s">
        <v>25</v>
      </c>
      <c r="P115">
        <f t="shared" si="31"/>
        <v>5</v>
      </c>
      <c r="Q115" s="1">
        <v>46148</v>
      </c>
      <c r="R115" s="1">
        <v>46165</v>
      </c>
      <c r="S115" s="1"/>
      <c r="T115" t="s">
        <v>143</v>
      </c>
    </row>
    <row r="116" spans="1:20" x14ac:dyDescent="0.3">
      <c r="A116" t="s">
        <v>144</v>
      </c>
      <c r="B116">
        <v>2026</v>
      </c>
      <c r="C116" s="1">
        <v>46082</v>
      </c>
      <c r="D116" s="1">
        <v>46223</v>
      </c>
      <c r="E116" t="s">
        <v>19</v>
      </c>
      <c r="F116" t="s">
        <v>23</v>
      </c>
      <c r="G116" t="s">
        <v>214</v>
      </c>
      <c r="H116">
        <v>4</v>
      </c>
      <c r="I116">
        <v>0</v>
      </c>
      <c r="J116">
        <v>0</v>
      </c>
      <c r="K116">
        <f t="shared" si="30"/>
        <v>0</v>
      </c>
      <c r="M116">
        <v>301052629</v>
      </c>
      <c r="N116" t="s">
        <v>18</v>
      </c>
      <c r="O116" t="s">
        <v>29</v>
      </c>
      <c r="P116">
        <f t="shared" si="31"/>
        <v>4</v>
      </c>
      <c r="Q116" s="1">
        <v>46134</v>
      </c>
      <c r="R116" s="1"/>
      <c r="S116" s="1"/>
      <c r="T116" t="s">
        <v>145</v>
      </c>
    </row>
    <row r="117" spans="1:20" x14ac:dyDescent="0.3">
      <c r="A117" t="s">
        <v>144</v>
      </c>
      <c r="B117">
        <v>2026</v>
      </c>
      <c r="C117" s="1">
        <v>46082</v>
      </c>
      <c r="D117" s="1">
        <v>46223</v>
      </c>
      <c r="E117" t="s">
        <v>19</v>
      </c>
      <c r="F117" t="s">
        <v>23</v>
      </c>
      <c r="G117" t="s">
        <v>24</v>
      </c>
      <c r="H117">
        <v>2</v>
      </c>
      <c r="I117">
        <v>1</v>
      </c>
      <c r="J117">
        <v>1</v>
      </c>
      <c r="K117">
        <f t="shared" si="30"/>
        <v>0.5</v>
      </c>
      <c r="M117">
        <v>304047349</v>
      </c>
      <c r="N117" t="s">
        <v>18</v>
      </c>
      <c r="O117" t="s">
        <v>25</v>
      </c>
      <c r="P117">
        <f t="shared" si="31"/>
        <v>5</v>
      </c>
      <c r="Q117" s="1">
        <v>46159</v>
      </c>
      <c r="R117" s="1">
        <v>46172</v>
      </c>
      <c r="S117" s="1">
        <v>46182</v>
      </c>
    </row>
    <row r="118" spans="1:20" x14ac:dyDescent="0.3">
      <c r="A118" t="s">
        <v>146</v>
      </c>
      <c r="B118">
        <v>2026</v>
      </c>
      <c r="C118" s="1">
        <v>46082</v>
      </c>
      <c r="D118" s="1">
        <v>46223</v>
      </c>
      <c r="E118" t="s">
        <v>19</v>
      </c>
      <c r="F118" t="s">
        <v>23</v>
      </c>
      <c r="G118" t="s">
        <v>24</v>
      </c>
      <c r="H118">
        <v>3</v>
      </c>
      <c r="I118">
        <v>3</v>
      </c>
      <c r="J118">
        <v>3</v>
      </c>
      <c r="K118">
        <f t="shared" si="30"/>
        <v>1</v>
      </c>
      <c r="L118" s="2" t="s">
        <v>147</v>
      </c>
      <c r="M118">
        <v>304046816</v>
      </c>
      <c r="N118" t="s">
        <v>18</v>
      </c>
      <c r="O118" t="s">
        <v>29</v>
      </c>
      <c r="P118">
        <f t="shared" si="31"/>
        <v>5</v>
      </c>
      <c r="Q118" s="1">
        <v>46143</v>
      </c>
      <c r="R118" s="1">
        <v>46161</v>
      </c>
      <c r="S118" s="1">
        <v>46172</v>
      </c>
    </row>
    <row r="119" spans="1:20" x14ac:dyDescent="0.3">
      <c r="A119" t="s">
        <v>146</v>
      </c>
      <c r="B119">
        <v>2026</v>
      </c>
      <c r="C119" s="1">
        <v>46082</v>
      </c>
      <c r="D119" s="1">
        <v>46223</v>
      </c>
      <c r="E119" t="s">
        <v>19</v>
      </c>
      <c r="F119" t="s">
        <v>23</v>
      </c>
      <c r="G119" t="s">
        <v>24</v>
      </c>
      <c r="H119">
        <v>4</v>
      </c>
      <c r="I119">
        <v>4</v>
      </c>
      <c r="J119">
        <v>4</v>
      </c>
      <c r="K119">
        <f t="shared" si="30"/>
        <v>1</v>
      </c>
      <c r="L119" s="2" t="s">
        <v>147</v>
      </c>
      <c r="M119">
        <v>304046816</v>
      </c>
      <c r="N119" t="s">
        <v>18</v>
      </c>
      <c r="O119" t="s">
        <v>29</v>
      </c>
      <c r="P119">
        <f t="shared" si="31"/>
        <v>6</v>
      </c>
      <c r="Q119" s="1">
        <v>46178</v>
      </c>
      <c r="R119" s="1">
        <v>46194</v>
      </c>
      <c r="S119" s="1">
        <v>46204</v>
      </c>
    </row>
    <row r="120" spans="1:20" x14ac:dyDescent="0.3">
      <c r="A120" t="s">
        <v>148</v>
      </c>
      <c r="B120">
        <v>2026</v>
      </c>
      <c r="C120" s="1">
        <v>46082</v>
      </c>
      <c r="D120" s="1">
        <v>46223</v>
      </c>
      <c r="E120" t="s">
        <v>21</v>
      </c>
      <c r="Q120" s="1"/>
      <c r="R120" s="1"/>
      <c r="S120" s="1"/>
    </row>
    <row r="121" spans="1:20" x14ac:dyDescent="0.3">
      <c r="A121" t="s">
        <v>149</v>
      </c>
      <c r="B121">
        <v>2026</v>
      </c>
      <c r="C121" s="1">
        <v>46082</v>
      </c>
      <c r="D121" s="1">
        <v>46223</v>
      </c>
      <c r="E121" t="s">
        <v>21</v>
      </c>
      <c r="Q121" s="1"/>
      <c r="R121" s="1"/>
      <c r="S121" s="1"/>
    </row>
    <row r="122" spans="1:20" x14ac:dyDescent="0.3">
      <c r="A122" t="s">
        <v>150</v>
      </c>
      <c r="B122">
        <v>2026</v>
      </c>
      <c r="C122" s="1">
        <v>46082</v>
      </c>
      <c r="D122" s="1">
        <v>46223</v>
      </c>
      <c r="E122" t="s">
        <v>19</v>
      </c>
      <c r="F122" t="s">
        <v>23</v>
      </c>
      <c r="G122" t="s">
        <v>24</v>
      </c>
      <c r="H122">
        <v>4</v>
      </c>
      <c r="I122">
        <v>4</v>
      </c>
      <c r="J122">
        <v>3</v>
      </c>
      <c r="K122">
        <f t="shared" ref="K122:K131" si="32">J122/H122</f>
        <v>0.75</v>
      </c>
      <c r="L122">
        <v>304047320</v>
      </c>
      <c r="M122">
        <v>304047153</v>
      </c>
      <c r="N122" t="s">
        <v>20</v>
      </c>
      <c r="O122" t="s">
        <v>38</v>
      </c>
      <c r="P122">
        <f t="shared" ref="P122:P131" si="33">MONTH(Q122)</f>
        <v>5</v>
      </c>
      <c r="Q122" s="1">
        <v>46149</v>
      </c>
      <c r="R122" s="1">
        <v>46164</v>
      </c>
      <c r="S122" s="1">
        <v>46176</v>
      </c>
    </row>
    <row r="123" spans="1:20" x14ac:dyDescent="0.3">
      <c r="A123" t="s">
        <v>150</v>
      </c>
      <c r="B123">
        <v>2026</v>
      </c>
      <c r="C123" s="1">
        <v>46082</v>
      </c>
      <c r="D123" s="1">
        <v>46223</v>
      </c>
      <c r="E123" t="s">
        <v>19</v>
      </c>
      <c r="F123" t="s">
        <v>23</v>
      </c>
      <c r="G123" t="s">
        <v>24</v>
      </c>
      <c r="H123">
        <v>5</v>
      </c>
      <c r="I123">
        <v>5</v>
      </c>
      <c r="J123">
        <v>5</v>
      </c>
      <c r="K123">
        <f t="shared" si="32"/>
        <v>1</v>
      </c>
      <c r="L123">
        <v>304047320</v>
      </c>
      <c r="M123">
        <v>304047153</v>
      </c>
      <c r="N123" t="s">
        <v>20</v>
      </c>
      <c r="O123" t="s">
        <v>38</v>
      </c>
      <c r="P123">
        <f t="shared" si="33"/>
        <v>6</v>
      </c>
      <c r="Q123" s="1">
        <v>46181</v>
      </c>
      <c r="R123" s="1">
        <v>46196</v>
      </c>
      <c r="S123" s="1">
        <v>46206</v>
      </c>
    </row>
    <row r="124" spans="1:20" x14ac:dyDescent="0.3">
      <c r="A124" t="s">
        <v>151</v>
      </c>
      <c r="B124">
        <v>2026</v>
      </c>
      <c r="C124" s="1">
        <v>46082</v>
      </c>
      <c r="D124" s="1">
        <v>46223</v>
      </c>
      <c r="E124" t="s">
        <v>19</v>
      </c>
      <c r="F124" t="s">
        <v>23</v>
      </c>
      <c r="G124" t="s">
        <v>215</v>
      </c>
      <c r="H124">
        <v>4</v>
      </c>
      <c r="I124">
        <v>3</v>
      </c>
      <c r="J124">
        <v>0</v>
      </c>
      <c r="K124">
        <f t="shared" si="32"/>
        <v>0</v>
      </c>
      <c r="L124">
        <v>304046926</v>
      </c>
      <c r="M124">
        <v>304047354</v>
      </c>
      <c r="N124" t="s">
        <v>29</v>
      </c>
      <c r="O124" t="s">
        <v>25</v>
      </c>
      <c r="P124">
        <f t="shared" si="33"/>
        <v>5</v>
      </c>
      <c r="Q124" s="1">
        <v>46167</v>
      </c>
      <c r="R124" s="1">
        <v>46182</v>
      </c>
      <c r="S124" s="1"/>
    </row>
    <row r="125" spans="1:20" x14ac:dyDescent="0.3">
      <c r="A125" t="s">
        <v>152</v>
      </c>
      <c r="B125">
        <v>2026</v>
      </c>
      <c r="C125" s="1">
        <v>46082</v>
      </c>
      <c r="D125" s="1">
        <v>46223</v>
      </c>
      <c r="E125" t="s">
        <v>19</v>
      </c>
      <c r="F125" t="s">
        <v>23</v>
      </c>
      <c r="G125" t="s">
        <v>218</v>
      </c>
      <c r="H125">
        <v>4</v>
      </c>
      <c r="I125">
        <v>4</v>
      </c>
      <c r="J125">
        <v>0</v>
      </c>
      <c r="K125">
        <f t="shared" si="32"/>
        <v>0</v>
      </c>
      <c r="L125">
        <v>304046926</v>
      </c>
      <c r="M125">
        <v>304046854</v>
      </c>
      <c r="N125" t="s">
        <v>29</v>
      </c>
      <c r="O125" t="s">
        <v>38</v>
      </c>
      <c r="P125">
        <f t="shared" si="33"/>
        <v>4</v>
      </c>
      <c r="Q125" s="1">
        <v>46127</v>
      </c>
      <c r="R125" s="1">
        <v>46143</v>
      </c>
      <c r="S125" s="1"/>
      <c r="T125" t="s">
        <v>153</v>
      </c>
    </row>
    <row r="126" spans="1:20" x14ac:dyDescent="0.3">
      <c r="A126" t="s">
        <v>152</v>
      </c>
      <c r="B126">
        <v>2026</v>
      </c>
      <c r="C126" s="1">
        <v>46082</v>
      </c>
      <c r="D126" s="1">
        <v>46223</v>
      </c>
      <c r="E126" t="s">
        <v>19</v>
      </c>
      <c r="F126" t="s">
        <v>23</v>
      </c>
      <c r="G126" t="s">
        <v>24</v>
      </c>
      <c r="H126">
        <v>4</v>
      </c>
      <c r="I126">
        <v>4</v>
      </c>
      <c r="J126">
        <v>4</v>
      </c>
      <c r="K126">
        <f t="shared" si="32"/>
        <v>1</v>
      </c>
      <c r="M126">
        <v>304047355</v>
      </c>
      <c r="N126" t="s">
        <v>18</v>
      </c>
      <c r="O126" t="s">
        <v>25</v>
      </c>
      <c r="P126">
        <f t="shared" si="33"/>
        <v>5</v>
      </c>
      <c r="Q126" s="1">
        <v>46161</v>
      </c>
      <c r="R126" s="1">
        <v>46177</v>
      </c>
      <c r="S126" s="1">
        <v>46187</v>
      </c>
    </row>
    <row r="127" spans="1:20" x14ac:dyDescent="0.3">
      <c r="A127" t="s">
        <v>154</v>
      </c>
      <c r="B127">
        <v>2026</v>
      </c>
      <c r="C127" s="1">
        <v>46082</v>
      </c>
      <c r="D127" s="1">
        <v>46223</v>
      </c>
      <c r="E127" t="s">
        <v>19</v>
      </c>
      <c r="F127" t="s">
        <v>27</v>
      </c>
      <c r="G127" t="s">
        <v>219</v>
      </c>
      <c r="I127">
        <v>0</v>
      </c>
      <c r="J127">
        <v>0</v>
      </c>
      <c r="N127" t="s">
        <v>18</v>
      </c>
      <c r="O127" t="s">
        <v>18</v>
      </c>
      <c r="P127">
        <f t="shared" si="33"/>
        <v>3</v>
      </c>
      <c r="Q127" s="1">
        <v>46112</v>
      </c>
      <c r="R127" s="1"/>
      <c r="S127" s="1"/>
      <c r="T127" t="s">
        <v>155</v>
      </c>
    </row>
    <row r="128" spans="1:20" x14ac:dyDescent="0.3">
      <c r="A128" t="s">
        <v>156</v>
      </c>
      <c r="B128">
        <v>2026</v>
      </c>
      <c r="C128" s="1">
        <v>46082</v>
      </c>
      <c r="D128" s="1">
        <v>46202</v>
      </c>
      <c r="E128" t="s">
        <v>19</v>
      </c>
      <c r="F128" t="s">
        <v>27</v>
      </c>
      <c r="G128" t="s">
        <v>214</v>
      </c>
      <c r="H128">
        <v>5</v>
      </c>
      <c r="I128">
        <v>0</v>
      </c>
      <c r="J128">
        <v>0</v>
      </c>
      <c r="K128">
        <f t="shared" si="32"/>
        <v>0</v>
      </c>
      <c r="N128" t="s">
        <v>18</v>
      </c>
      <c r="O128" t="s">
        <v>18</v>
      </c>
      <c r="P128">
        <f t="shared" si="33"/>
        <v>4</v>
      </c>
      <c r="Q128" s="1">
        <v>46126</v>
      </c>
      <c r="R128" s="1"/>
      <c r="S128" s="1"/>
    </row>
    <row r="129" spans="1:20" x14ac:dyDescent="0.3">
      <c r="A129" t="s">
        <v>157</v>
      </c>
      <c r="B129">
        <v>2026</v>
      </c>
      <c r="C129" s="1">
        <v>46082</v>
      </c>
      <c r="D129" s="1">
        <v>46202</v>
      </c>
      <c r="E129" t="s">
        <v>19</v>
      </c>
      <c r="F129" t="s">
        <v>27</v>
      </c>
      <c r="G129" t="s">
        <v>24</v>
      </c>
      <c r="H129">
        <v>5</v>
      </c>
      <c r="I129">
        <v>5</v>
      </c>
      <c r="J129">
        <v>5</v>
      </c>
      <c r="K129">
        <f t="shared" si="32"/>
        <v>1</v>
      </c>
      <c r="N129" t="s">
        <v>18</v>
      </c>
      <c r="O129" t="s">
        <v>18</v>
      </c>
      <c r="P129">
        <f t="shared" si="33"/>
        <v>3</v>
      </c>
      <c r="Q129" s="1">
        <v>46097</v>
      </c>
      <c r="R129" s="1">
        <v>46115</v>
      </c>
      <c r="S129" s="1">
        <v>46125</v>
      </c>
    </row>
    <row r="130" spans="1:20" x14ac:dyDescent="0.3">
      <c r="A130" t="s">
        <v>157</v>
      </c>
      <c r="B130">
        <v>2026</v>
      </c>
      <c r="C130" s="1">
        <v>46082</v>
      </c>
      <c r="D130" s="1">
        <v>46202</v>
      </c>
      <c r="E130" t="s">
        <v>19</v>
      </c>
      <c r="F130" t="s">
        <v>27</v>
      </c>
      <c r="G130" t="s">
        <v>24</v>
      </c>
      <c r="H130">
        <v>4</v>
      </c>
      <c r="I130">
        <v>2</v>
      </c>
      <c r="J130">
        <v>2</v>
      </c>
      <c r="K130">
        <f t="shared" si="32"/>
        <v>0.5</v>
      </c>
      <c r="N130" t="s">
        <v>18</v>
      </c>
      <c r="O130" t="s">
        <v>18</v>
      </c>
      <c r="P130">
        <f t="shared" si="33"/>
        <v>5</v>
      </c>
      <c r="Q130" s="1">
        <v>46156</v>
      </c>
      <c r="R130" s="1">
        <v>46172</v>
      </c>
      <c r="S130" s="1">
        <v>46185</v>
      </c>
    </row>
    <row r="131" spans="1:20" x14ac:dyDescent="0.3">
      <c r="A131" t="s">
        <v>158</v>
      </c>
      <c r="B131">
        <v>2026</v>
      </c>
      <c r="C131" s="1">
        <v>46082</v>
      </c>
      <c r="D131" s="1">
        <v>46202</v>
      </c>
      <c r="E131" t="s">
        <v>19</v>
      </c>
      <c r="F131" t="s">
        <v>27</v>
      </c>
      <c r="G131" t="s">
        <v>217</v>
      </c>
      <c r="H131">
        <v>5</v>
      </c>
      <c r="I131">
        <v>4</v>
      </c>
      <c r="J131">
        <v>0</v>
      </c>
      <c r="K131">
        <f t="shared" si="32"/>
        <v>0</v>
      </c>
      <c r="N131" t="s">
        <v>18</v>
      </c>
      <c r="O131" t="s">
        <v>18</v>
      </c>
      <c r="P131">
        <f t="shared" si="33"/>
        <v>4</v>
      </c>
      <c r="Q131" s="1">
        <v>46125</v>
      </c>
      <c r="R131" s="1">
        <v>46146</v>
      </c>
      <c r="S131" s="1"/>
      <c r="T131" t="s">
        <v>159</v>
      </c>
    </row>
    <row r="132" spans="1:20" x14ac:dyDescent="0.3">
      <c r="A132" t="s">
        <v>160</v>
      </c>
      <c r="B132">
        <v>2026</v>
      </c>
      <c r="C132" s="1">
        <v>46082</v>
      </c>
      <c r="D132" s="1">
        <v>46202</v>
      </c>
      <c r="E132" t="s">
        <v>21</v>
      </c>
      <c r="Q132" s="1"/>
      <c r="R132" s="1"/>
      <c r="S132" s="1"/>
    </row>
    <row r="133" spans="1:20" x14ac:dyDescent="0.3">
      <c r="A133" t="s">
        <v>161</v>
      </c>
      <c r="B133">
        <v>2026</v>
      </c>
      <c r="C133" s="1">
        <v>46082</v>
      </c>
      <c r="D133" s="1">
        <v>46202</v>
      </c>
      <c r="E133" t="s">
        <v>19</v>
      </c>
      <c r="F133" t="s">
        <v>27</v>
      </c>
      <c r="G133" t="s">
        <v>24</v>
      </c>
      <c r="H133">
        <v>5</v>
      </c>
      <c r="I133">
        <v>5</v>
      </c>
      <c r="J133">
        <v>5</v>
      </c>
      <c r="K133">
        <f t="shared" ref="K133:K142" si="34">J133/H133</f>
        <v>1</v>
      </c>
      <c r="N133" t="s">
        <v>18</v>
      </c>
      <c r="O133" t="s">
        <v>18</v>
      </c>
      <c r="P133">
        <f t="shared" ref="P133:P142" si="35">MONTH(Q133)</f>
        <v>4</v>
      </c>
      <c r="Q133" s="1">
        <v>46119</v>
      </c>
      <c r="R133" s="1">
        <v>46137</v>
      </c>
      <c r="S133" s="1">
        <v>46155</v>
      </c>
    </row>
    <row r="134" spans="1:20" x14ac:dyDescent="0.3">
      <c r="A134" t="s">
        <v>162</v>
      </c>
      <c r="B134">
        <v>2026</v>
      </c>
      <c r="C134" s="1">
        <v>46082</v>
      </c>
      <c r="D134" s="1">
        <v>46202</v>
      </c>
      <c r="E134" t="s">
        <v>19</v>
      </c>
      <c r="F134" t="s">
        <v>27</v>
      </c>
      <c r="G134" t="s">
        <v>24</v>
      </c>
      <c r="H134">
        <v>4</v>
      </c>
      <c r="I134">
        <v>4</v>
      </c>
      <c r="J134">
        <v>4</v>
      </c>
      <c r="K134">
        <f t="shared" si="34"/>
        <v>1</v>
      </c>
      <c r="N134" t="s">
        <v>18</v>
      </c>
      <c r="O134" t="s">
        <v>18</v>
      </c>
      <c r="P134">
        <f t="shared" si="35"/>
        <v>4</v>
      </c>
      <c r="Q134" s="1">
        <v>46137</v>
      </c>
      <c r="R134" s="1">
        <v>46155</v>
      </c>
      <c r="S134" s="1">
        <v>46165</v>
      </c>
    </row>
    <row r="135" spans="1:20" x14ac:dyDescent="0.3">
      <c r="A135" t="s">
        <v>163</v>
      </c>
      <c r="B135">
        <v>2026</v>
      </c>
      <c r="C135" s="1">
        <v>46082</v>
      </c>
      <c r="D135" s="1">
        <v>46225</v>
      </c>
      <c r="E135" t="s">
        <v>19</v>
      </c>
      <c r="F135" t="s">
        <v>27</v>
      </c>
      <c r="G135" t="s">
        <v>24</v>
      </c>
      <c r="H135">
        <v>4</v>
      </c>
      <c r="I135">
        <v>4</v>
      </c>
      <c r="J135">
        <v>4</v>
      </c>
      <c r="K135">
        <f t="shared" si="34"/>
        <v>1</v>
      </c>
      <c r="N135" t="s">
        <v>18</v>
      </c>
      <c r="O135" t="s">
        <v>18</v>
      </c>
      <c r="P135">
        <f t="shared" si="35"/>
        <v>5</v>
      </c>
      <c r="Q135" s="1">
        <v>46158</v>
      </c>
      <c r="R135" s="1">
        <v>46174</v>
      </c>
      <c r="S135" s="1">
        <v>46189</v>
      </c>
    </row>
    <row r="136" spans="1:20" x14ac:dyDescent="0.3">
      <c r="A136" t="s">
        <v>164</v>
      </c>
      <c r="B136">
        <v>2026</v>
      </c>
      <c r="C136" s="1">
        <v>46082</v>
      </c>
      <c r="D136" s="1">
        <v>46225</v>
      </c>
      <c r="E136" t="s">
        <v>19</v>
      </c>
      <c r="F136" t="s">
        <v>23</v>
      </c>
      <c r="G136" t="s">
        <v>215</v>
      </c>
      <c r="H136">
        <v>5</v>
      </c>
      <c r="I136">
        <v>4</v>
      </c>
      <c r="J136">
        <v>0</v>
      </c>
      <c r="K136">
        <f t="shared" si="34"/>
        <v>0</v>
      </c>
      <c r="L136" t="s">
        <v>28</v>
      </c>
      <c r="M136">
        <v>304047165</v>
      </c>
      <c r="N136" t="s">
        <v>18</v>
      </c>
      <c r="O136" t="s">
        <v>25</v>
      </c>
      <c r="P136">
        <f t="shared" si="35"/>
        <v>4</v>
      </c>
      <c r="Q136" s="1">
        <v>46127</v>
      </c>
      <c r="R136" s="1">
        <v>46143</v>
      </c>
      <c r="S136" s="1"/>
    </row>
    <row r="137" spans="1:20" x14ac:dyDescent="0.3">
      <c r="A137" t="s">
        <v>165</v>
      </c>
      <c r="B137">
        <v>2026</v>
      </c>
      <c r="C137" s="1">
        <v>46082</v>
      </c>
      <c r="D137" s="1">
        <v>46225</v>
      </c>
      <c r="E137" t="s">
        <v>19</v>
      </c>
      <c r="F137" t="s">
        <v>23</v>
      </c>
      <c r="G137" t="s">
        <v>24</v>
      </c>
      <c r="H137">
        <v>3</v>
      </c>
      <c r="I137">
        <v>3</v>
      </c>
      <c r="J137">
        <v>3</v>
      </c>
      <c r="K137">
        <f t="shared" si="34"/>
        <v>1</v>
      </c>
      <c r="L137">
        <v>199020858</v>
      </c>
      <c r="M137" t="s">
        <v>28</v>
      </c>
      <c r="N137" t="s">
        <v>38</v>
      </c>
      <c r="O137" t="s">
        <v>18</v>
      </c>
      <c r="P137">
        <f t="shared" si="35"/>
        <v>6</v>
      </c>
      <c r="Q137" s="1">
        <v>46182</v>
      </c>
      <c r="R137" s="1">
        <v>46196</v>
      </c>
      <c r="S137" s="1">
        <v>46206</v>
      </c>
    </row>
    <row r="138" spans="1:20" x14ac:dyDescent="0.3">
      <c r="A138" t="s">
        <v>165</v>
      </c>
      <c r="B138">
        <v>2026</v>
      </c>
      <c r="C138" s="1">
        <v>46082</v>
      </c>
      <c r="D138" s="1">
        <v>46225</v>
      </c>
      <c r="E138" t="s">
        <v>19</v>
      </c>
      <c r="F138" t="s">
        <v>27</v>
      </c>
      <c r="G138" t="s">
        <v>216</v>
      </c>
      <c r="I138">
        <v>0</v>
      </c>
      <c r="J138">
        <v>0</v>
      </c>
      <c r="N138" t="s">
        <v>18</v>
      </c>
      <c r="O138" t="s">
        <v>18</v>
      </c>
      <c r="P138">
        <f t="shared" si="35"/>
        <v>5</v>
      </c>
      <c r="Q138" s="1">
        <v>46156</v>
      </c>
      <c r="R138" s="1"/>
      <c r="S138" s="1"/>
      <c r="T138" t="s">
        <v>166</v>
      </c>
    </row>
    <row r="139" spans="1:20" x14ac:dyDescent="0.3">
      <c r="A139" t="s">
        <v>167</v>
      </c>
      <c r="B139">
        <v>2026</v>
      </c>
      <c r="C139" s="1">
        <v>46082</v>
      </c>
      <c r="D139" s="1">
        <v>46225</v>
      </c>
      <c r="E139" t="s">
        <v>19</v>
      </c>
      <c r="F139" t="s">
        <v>23</v>
      </c>
      <c r="G139" t="s">
        <v>24</v>
      </c>
      <c r="H139">
        <v>5</v>
      </c>
      <c r="I139">
        <v>5</v>
      </c>
      <c r="J139">
        <v>5</v>
      </c>
      <c r="K139">
        <f t="shared" si="34"/>
        <v>1</v>
      </c>
      <c r="L139">
        <v>304047012</v>
      </c>
      <c r="M139">
        <v>304047011</v>
      </c>
      <c r="N139" t="s">
        <v>20</v>
      </c>
      <c r="O139" t="s">
        <v>20</v>
      </c>
      <c r="P139">
        <f t="shared" si="35"/>
        <v>4</v>
      </c>
      <c r="Q139" s="1">
        <v>46124</v>
      </c>
      <c r="R139" s="1">
        <v>46140</v>
      </c>
      <c r="S139" s="1">
        <v>46150</v>
      </c>
    </row>
    <row r="140" spans="1:20" x14ac:dyDescent="0.3">
      <c r="A140" t="s">
        <v>167</v>
      </c>
      <c r="B140">
        <v>2026</v>
      </c>
      <c r="C140" s="1">
        <v>46082</v>
      </c>
      <c r="D140" s="1">
        <v>46225</v>
      </c>
      <c r="E140" t="s">
        <v>19</v>
      </c>
      <c r="F140" t="s">
        <v>23</v>
      </c>
      <c r="G140" t="s">
        <v>24</v>
      </c>
      <c r="H140">
        <v>4</v>
      </c>
      <c r="I140">
        <v>4</v>
      </c>
      <c r="J140">
        <v>4</v>
      </c>
      <c r="K140">
        <f t="shared" si="34"/>
        <v>1</v>
      </c>
      <c r="L140">
        <v>199020859</v>
      </c>
      <c r="M140">
        <v>304047011</v>
      </c>
      <c r="N140" t="s">
        <v>25</v>
      </c>
      <c r="O140" t="s">
        <v>20</v>
      </c>
      <c r="P140">
        <f t="shared" si="35"/>
        <v>5</v>
      </c>
      <c r="Q140" s="1">
        <v>46161</v>
      </c>
      <c r="R140" s="1">
        <v>46178</v>
      </c>
      <c r="S140" s="1">
        <v>46188</v>
      </c>
    </row>
    <row r="141" spans="1:20" x14ac:dyDescent="0.3">
      <c r="A141" t="s">
        <v>168</v>
      </c>
      <c r="B141">
        <v>2026</v>
      </c>
      <c r="C141" s="1">
        <v>46082</v>
      </c>
      <c r="D141" s="1">
        <v>46225</v>
      </c>
      <c r="E141" t="s">
        <v>19</v>
      </c>
      <c r="F141" t="s">
        <v>27</v>
      </c>
      <c r="G141" t="s">
        <v>24</v>
      </c>
      <c r="H141">
        <v>5</v>
      </c>
      <c r="I141">
        <v>5</v>
      </c>
      <c r="J141">
        <v>5</v>
      </c>
      <c r="K141">
        <f t="shared" si="34"/>
        <v>1</v>
      </c>
      <c r="N141" t="s">
        <v>18</v>
      </c>
      <c r="O141" t="s">
        <v>18</v>
      </c>
      <c r="P141">
        <f t="shared" si="35"/>
        <v>3</v>
      </c>
      <c r="Q141" s="1">
        <v>46082</v>
      </c>
      <c r="R141" s="1">
        <v>46097</v>
      </c>
      <c r="S141" s="1">
        <v>46114</v>
      </c>
    </row>
    <row r="142" spans="1:20" x14ac:dyDescent="0.3">
      <c r="A142" t="s">
        <v>168</v>
      </c>
      <c r="B142">
        <v>2026</v>
      </c>
      <c r="C142" s="1">
        <v>46082</v>
      </c>
      <c r="D142" s="1">
        <v>46225</v>
      </c>
      <c r="E142" t="s">
        <v>19</v>
      </c>
      <c r="F142" t="s">
        <v>23</v>
      </c>
      <c r="G142" t="s">
        <v>24</v>
      </c>
      <c r="H142">
        <v>5</v>
      </c>
      <c r="I142">
        <v>5</v>
      </c>
      <c r="J142">
        <v>5</v>
      </c>
      <c r="K142">
        <f t="shared" si="34"/>
        <v>1</v>
      </c>
      <c r="L142" t="s">
        <v>28</v>
      </c>
      <c r="M142">
        <v>304047052</v>
      </c>
      <c r="N142" t="s">
        <v>18</v>
      </c>
      <c r="O142" t="s">
        <v>20</v>
      </c>
      <c r="P142">
        <f t="shared" si="35"/>
        <v>4</v>
      </c>
      <c r="Q142" s="1">
        <v>46133</v>
      </c>
      <c r="R142" s="1">
        <v>46150</v>
      </c>
      <c r="S142" s="1">
        <v>46160</v>
      </c>
    </row>
    <row r="143" spans="1:20" x14ac:dyDescent="0.3">
      <c r="A143" t="s">
        <v>169</v>
      </c>
      <c r="B143">
        <v>2026</v>
      </c>
      <c r="C143" s="1">
        <v>46082</v>
      </c>
      <c r="D143" s="1">
        <v>46225</v>
      </c>
      <c r="E143" t="s">
        <v>21</v>
      </c>
      <c r="Q143" s="1"/>
      <c r="R143" s="1"/>
      <c r="S143" s="1"/>
    </row>
    <row r="144" spans="1:20" x14ac:dyDescent="0.3">
      <c r="A144" t="s">
        <v>170</v>
      </c>
      <c r="B144">
        <v>2026</v>
      </c>
      <c r="C144" s="1">
        <v>46082</v>
      </c>
      <c r="D144" s="1">
        <v>46225</v>
      </c>
      <c r="E144" t="s">
        <v>21</v>
      </c>
      <c r="Q144" s="1"/>
      <c r="R144" s="1"/>
      <c r="S144" s="1"/>
    </row>
    <row r="145" spans="1:20" x14ac:dyDescent="0.3">
      <c r="A145" t="s">
        <v>171</v>
      </c>
      <c r="B145">
        <v>2026</v>
      </c>
      <c r="C145" s="1">
        <v>46082</v>
      </c>
      <c r="D145" s="1">
        <v>46225</v>
      </c>
      <c r="E145" t="s">
        <v>19</v>
      </c>
      <c r="F145" t="s">
        <v>27</v>
      </c>
      <c r="G145" t="s">
        <v>24</v>
      </c>
      <c r="H145">
        <v>6</v>
      </c>
      <c r="I145">
        <v>4</v>
      </c>
      <c r="J145">
        <v>4</v>
      </c>
      <c r="K145">
        <f t="shared" ref="K145:K147" si="36">J145/H145</f>
        <v>0.66666666666666663</v>
      </c>
      <c r="N145" t="s">
        <v>18</v>
      </c>
      <c r="O145" t="s">
        <v>18</v>
      </c>
      <c r="P145">
        <f t="shared" ref="P145:P147" si="37">MONTH(Q145)</f>
        <v>3</v>
      </c>
      <c r="Q145" s="1">
        <v>46110</v>
      </c>
      <c r="R145" s="1">
        <v>46129</v>
      </c>
      <c r="S145" s="1">
        <v>46142</v>
      </c>
    </row>
    <row r="146" spans="1:20" x14ac:dyDescent="0.3">
      <c r="A146" t="s">
        <v>172</v>
      </c>
      <c r="B146">
        <v>2026</v>
      </c>
      <c r="C146" s="1">
        <v>46082</v>
      </c>
      <c r="D146" s="1">
        <v>46247</v>
      </c>
      <c r="E146" t="s">
        <v>19</v>
      </c>
      <c r="F146" t="s">
        <v>27</v>
      </c>
      <c r="G146" t="s">
        <v>24</v>
      </c>
      <c r="H146">
        <v>5</v>
      </c>
      <c r="I146">
        <v>5</v>
      </c>
      <c r="J146">
        <v>5</v>
      </c>
      <c r="K146">
        <f t="shared" si="36"/>
        <v>1</v>
      </c>
      <c r="N146" t="s">
        <v>18</v>
      </c>
      <c r="O146" t="s">
        <v>18</v>
      </c>
      <c r="P146">
        <f t="shared" si="37"/>
        <v>6</v>
      </c>
      <c r="Q146" s="1">
        <v>46174</v>
      </c>
      <c r="R146" s="1">
        <v>46192</v>
      </c>
      <c r="S146" s="1">
        <v>46207</v>
      </c>
    </row>
    <row r="147" spans="1:20" x14ac:dyDescent="0.3">
      <c r="A147" t="s">
        <v>172</v>
      </c>
      <c r="B147">
        <v>2026</v>
      </c>
      <c r="C147" s="1">
        <v>46082</v>
      </c>
      <c r="D147" s="1">
        <v>46247</v>
      </c>
      <c r="E147" t="s">
        <v>19</v>
      </c>
      <c r="F147" t="s">
        <v>23</v>
      </c>
      <c r="G147" t="s">
        <v>24</v>
      </c>
      <c r="H147">
        <v>4</v>
      </c>
      <c r="I147">
        <v>3</v>
      </c>
      <c r="J147">
        <v>3</v>
      </c>
      <c r="K147">
        <f t="shared" si="36"/>
        <v>0.75</v>
      </c>
      <c r="L147">
        <v>199020857</v>
      </c>
      <c r="M147">
        <v>304047165</v>
      </c>
      <c r="N147" t="s">
        <v>38</v>
      </c>
      <c r="O147" t="s">
        <v>25</v>
      </c>
      <c r="P147">
        <f t="shared" si="37"/>
        <v>7</v>
      </c>
      <c r="Q147" s="1">
        <v>46222</v>
      </c>
      <c r="R147" s="1">
        <v>46236</v>
      </c>
      <c r="S147" s="1">
        <v>46247</v>
      </c>
    </row>
    <row r="148" spans="1:20" x14ac:dyDescent="0.3">
      <c r="A148" t="s">
        <v>173</v>
      </c>
      <c r="B148">
        <v>2026</v>
      </c>
      <c r="C148" s="1">
        <v>46082</v>
      </c>
      <c r="D148" s="1">
        <v>45495</v>
      </c>
      <c r="E148" t="s">
        <v>21</v>
      </c>
      <c r="Q148" s="1"/>
      <c r="R148" s="1"/>
      <c r="S148" s="1"/>
    </row>
    <row r="149" spans="1:20" x14ac:dyDescent="0.3">
      <c r="A149" t="s">
        <v>174</v>
      </c>
      <c r="B149">
        <v>2026</v>
      </c>
      <c r="C149" s="1">
        <v>46082</v>
      </c>
      <c r="D149" s="1">
        <v>45495</v>
      </c>
      <c r="E149" t="s">
        <v>19</v>
      </c>
      <c r="F149" t="s">
        <v>23</v>
      </c>
      <c r="G149" t="s">
        <v>24</v>
      </c>
      <c r="H149">
        <v>5</v>
      </c>
      <c r="I149">
        <v>5</v>
      </c>
      <c r="J149">
        <v>5</v>
      </c>
      <c r="K149">
        <f t="shared" ref="K149:K154" si="38">J149/H149</f>
        <v>1</v>
      </c>
      <c r="L149">
        <v>199020857</v>
      </c>
      <c r="M149">
        <v>304047218</v>
      </c>
      <c r="N149" t="s">
        <v>38</v>
      </c>
      <c r="O149" t="s">
        <v>25</v>
      </c>
      <c r="P149">
        <f t="shared" ref="P149:P154" si="39">MONTH(Q149)</f>
        <v>4</v>
      </c>
      <c r="Q149" s="1">
        <v>46127</v>
      </c>
      <c r="R149" s="1">
        <v>46141</v>
      </c>
      <c r="S149" s="1">
        <v>46151</v>
      </c>
    </row>
    <row r="150" spans="1:20" x14ac:dyDescent="0.3">
      <c r="A150" t="s">
        <v>174</v>
      </c>
      <c r="B150">
        <v>2026</v>
      </c>
      <c r="C150" s="1">
        <v>46082</v>
      </c>
      <c r="D150" s="1">
        <v>45495</v>
      </c>
      <c r="E150" t="s">
        <v>19</v>
      </c>
      <c r="F150" t="s">
        <v>23</v>
      </c>
      <c r="G150" t="s">
        <v>24</v>
      </c>
      <c r="H150">
        <v>4</v>
      </c>
      <c r="I150">
        <v>4</v>
      </c>
      <c r="J150">
        <v>4</v>
      </c>
      <c r="K150">
        <f t="shared" si="38"/>
        <v>1</v>
      </c>
      <c r="L150">
        <v>199020857</v>
      </c>
      <c r="M150">
        <v>304047218</v>
      </c>
      <c r="N150" t="s">
        <v>38</v>
      </c>
      <c r="O150" t="s">
        <v>25</v>
      </c>
      <c r="P150">
        <f t="shared" si="39"/>
        <v>6</v>
      </c>
      <c r="Q150" s="1">
        <v>46182</v>
      </c>
      <c r="R150" s="1">
        <v>46197</v>
      </c>
      <c r="S150" s="1">
        <v>46208</v>
      </c>
    </row>
    <row r="151" spans="1:20" x14ac:dyDescent="0.3">
      <c r="A151" t="s">
        <v>175</v>
      </c>
      <c r="B151">
        <v>2026</v>
      </c>
      <c r="C151" s="1">
        <v>46082</v>
      </c>
      <c r="D151" s="1">
        <v>45495</v>
      </c>
      <c r="E151" t="s">
        <v>19</v>
      </c>
      <c r="F151" t="s">
        <v>23</v>
      </c>
      <c r="G151" t="s">
        <v>218</v>
      </c>
      <c r="H151">
        <v>5</v>
      </c>
      <c r="I151">
        <v>0</v>
      </c>
      <c r="J151">
        <v>0</v>
      </c>
      <c r="K151">
        <f t="shared" si="38"/>
        <v>0</v>
      </c>
      <c r="L151" t="s">
        <v>28</v>
      </c>
      <c r="M151">
        <v>304047218</v>
      </c>
      <c r="N151" t="s">
        <v>18</v>
      </c>
      <c r="O151" t="s">
        <v>25</v>
      </c>
      <c r="P151">
        <f t="shared" si="39"/>
        <v>5</v>
      </c>
      <c r="Q151" s="1">
        <v>46160</v>
      </c>
      <c r="R151" s="1"/>
      <c r="S151" s="1"/>
      <c r="T151" t="s">
        <v>176</v>
      </c>
    </row>
    <row r="152" spans="1:20" x14ac:dyDescent="0.3">
      <c r="A152" t="s">
        <v>177</v>
      </c>
      <c r="B152">
        <v>2026</v>
      </c>
      <c r="C152" s="1">
        <v>46082</v>
      </c>
      <c r="D152" s="1">
        <v>45495</v>
      </c>
      <c r="E152" t="s">
        <v>19</v>
      </c>
      <c r="F152" t="s">
        <v>27</v>
      </c>
      <c r="G152" t="s">
        <v>24</v>
      </c>
      <c r="H152">
        <v>4</v>
      </c>
      <c r="I152">
        <v>3</v>
      </c>
      <c r="J152">
        <v>3</v>
      </c>
      <c r="K152">
        <f t="shared" si="38"/>
        <v>0.75</v>
      </c>
      <c r="N152" t="s">
        <v>18</v>
      </c>
      <c r="O152" t="s">
        <v>18</v>
      </c>
      <c r="P152">
        <f t="shared" si="39"/>
        <v>4</v>
      </c>
      <c r="Q152" s="1">
        <v>46127</v>
      </c>
      <c r="R152" s="1">
        <v>46144</v>
      </c>
      <c r="S152" s="1">
        <v>46156</v>
      </c>
    </row>
    <row r="153" spans="1:20" x14ac:dyDescent="0.3">
      <c r="A153" t="s">
        <v>178</v>
      </c>
      <c r="B153">
        <v>2026</v>
      </c>
      <c r="C153" s="1">
        <v>46082</v>
      </c>
      <c r="D153" s="1">
        <v>45495</v>
      </c>
      <c r="E153" t="s">
        <v>19</v>
      </c>
      <c r="F153" t="s">
        <v>27</v>
      </c>
      <c r="G153" t="s">
        <v>24</v>
      </c>
      <c r="H153">
        <v>5</v>
      </c>
      <c r="I153">
        <v>5</v>
      </c>
      <c r="J153">
        <v>5</v>
      </c>
      <c r="K153">
        <f t="shared" si="38"/>
        <v>1</v>
      </c>
      <c r="N153" t="s">
        <v>18</v>
      </c>
      <c r="O153" t="s">
        <v>18</v>
      </c>
      <c r="P153">
        <f t="shared" si="39"/>
        <v>3</v>
      </c>
      <c r="Q153" s="1">
        <v>46094</v>
      </c>
      <c r="R153" s="1">
        <v>46108</v>
      </c>
      <c r="S153" s="1">
        <v>46124</v>
      </c>
    </row>
    <row r="154" spans="1:20" x14ac:dyDescent="0.3">
      <c r="A154" t="s">
        <v>178</v>
      </c>
      <c r="B154">
        <v>2026</v>
      </c>
      <c r="C154" s="1">
        <v>46082</v>
      </c>
      <c r="D154" s="1">
        <v>45495</v>
      </c>
      <c r="E154" t="s">
        <v>19</v>
      </c>
      <c r="F154" t="s">
        <v>23</v>
      </c>
      <c r="G154" t="s">
        <v>24</v>
      </c>
      <c r="H154">
        <v>4</v>
      </c>
      <c r="I154">
        <v>1</v>
      </c>
      <c r="J154">
        <v>1</v>
      </c>
      <c r="K154">
        <f t="shared" si="38"/>
        <v>0.25</v>
      </c>
      <c r="L154" t="s">
        <v>28</v>
      </c>
      <c r="M154">
        <v>304047165</v>
      </c>
      <c r="N154" t="s">
        <v>18</v>
      </c>
      <c r="O154" t="s">
        <v>25</v>
      </c>
      <c r="P154">
        <f t="shared" si="39"/>
        <v>5</v>
      </c>
      <c r="Q154" s="1">
        <v>46159</v>
      </c>
      <c r="R154" s="1">
        <v>46174</v>
      </c>
      <c r="S154" s="1">
        <v>46184</v>
      </c>
    </row>
    <row r="155" spans="1:20" x14ac:dyDescent="0.3">
      <c r="A155" t="s">
        <v>179</v>
      </c>
      <c r="B155">
        <v>2026</v>
      </c>
      <c r="C155" s="1">
        <v>46082</v>
      </c>
      <c r="D155" s="1">
        <v>46174</v>
      </c>
      <c r="E155" t="s">
        <v>21</v>
      </c>
      <c r="Q155" s="1"/>
      <c r="R155" s="1"/>
      <c r="S155" s="1"/>
    </row>
    <row r="156" spans="1:20" x14ac:dyDescent="0.3">
      <c r="A156" t="s">
        <v>180</v>
      </c>
      <c r="B156">
        <v>2026</v>
      </c>
      <c r="C156" s="1">
        <v>46082</v>
      </c>
      <c r="D156" s="1">
        <v>46174</v>
      </c>
      <c r="E156" t="s">
        <v>21</v>
      </c>
      <c r="Q156" s="1"/>
      <c r="R156" s="1"/>
      <c r="S156" s="1"/>
    </row>
    <row r="157" spans="1:20" x14ac:dyDescent="0.3">
      <c r="A157" t="s">
        <v>181</v>
      </c>
      <c r="B157">
        <v>2026</v>
      </c>
      <c r="C157" s="1">
        <v>46082</v>
      </c>
      <c r="D157" s="1">
        <v>46174</v>
      </c>
      <c r="E157" t="s">
        <v>21</v>
      </c>
      <c r="Q157" s="1"/>
      <c r="R157" s="1"/>
      <c r="S157" s="1"/>
    </row>
    <row r="158" spans="1:20" x14ac:dyDescent="0.3">
      <c r="A158" t="s">
        <v>182</v>
      </c>
      <c r="B158">
        <v>2026</v>
      </c>
      <c r="C158" s="1">
        <v>46082</v>
      </c>
      <c r="D158" s="1">
        <v>46174</v>
      </c>
      <c r="E158" t="s">
        <v>21</v>
      </c>
      <c r="Q158" s="1"/>
      <c r="R158" s="1"/>
      <c r="S158" s="1"/>
    </row>
    <row r="159" spans="1:20" x14ac:dyDescent="0.3">
      <c r="A159" t="s">
        <v>183</v>
      </c>
      <c r="B159">
        <v>2026</v>
      </c>
      <c r="C159" s="1">
        <v>46082</v>
      </c>
      <c r="D159" s="1">
        <v>46174</v>
      </c>
      <c r="E159" t="s">
        <v>19</v>
      </c>
      <c r="F159" t="s">
        <v>184</v>
      </c>
      <c r="G159" t="s">
        <v>24</v>
      </c>
      <c r="H159">
        <v>6</v>
      </c>
      <c r="I159">
        <v>4</v>
      </c>
      <c r="J159">
        <v>4</v>
      </c>
      <c r="K159">
        <f>J159/H159</f>
        <v>0.66666666666666663</v>
      </c>
      <c r="L159">
        <v>301052615</v>
      </c>
      <c r="M159">
        <v>304047299</v>
      </c>
      <c r="N159" t="s">
        <v>18</v>
      </c>
      <c r="O159" t="s">
        <v>18</v>
      </c>
      <c r="P159">
        <f>MONTH(Q159)</f>
        <v>3</v>
      </c>
      <c r="Q159" s="1">
        <v>46085</v>
      </c>
      <c r="R159" s="1">
        <v>46105</v>
      </c>
      <c r="S159" s="1">
        <v>46122</v>
      </c>
    </row>
    <row r="160" spans="1:20" x14ac:dyDescent="0.3">
      <c r="A160" t="s">
        <v>185</v>
      </c>
      <c r="B160">
        <v>2026</v>
      </c>
      <c r="C160" s="1">
        <v>46082</v>
      </c>
      <c r="D160" s="1">
        <v>46174</v>
      </c>
      <c r="E160" t="s">
        <v>21</v>
      </c>
      <c r="Q160" s="1"/>
      <c r="R160" s="1"/>
      <c r="S160" s="1"/>
    </row>
    <row r="161" spans="1:20" x14ac:dyDescent="0.3">
      <c r="A161" t="s">
        <v>186</v>
      </c>
      <c r="B161">
        <v>2026</v>
      </c>
      <c r="C161" s="1">
        <v>46082</v>
      </c>
      <c r="D161" s="1">
        <v>46195</v>
      </c>
      <c r="E161" t="s">
        <v>19</v>
      </c>
      <c r="F161" t="s">
        <v>23</v>
      </c>
      <c r="G161" t="s">
        <v>24</v>
      </c>
      <c r="H161">
        <v>4</v>
      </c>
      <c r="I161">
        <v>3</v>
      </c>
      <c r="J161">
        <v>3</v>
      </c>
      <c r="K161">
        <f>J161/H161</f>
        <v>0.75</v>
      </c>
      <c r="L161">
        <v>199020855</v>
      </c>
      <c r="N161" t="s">
        <v>38</v>
      </c>
      <c r="O161" t="s">
        <v>18</v>
      </c>
      <c r="P161">
        <f>MONTH(Q161)</f>
        <v>5</v>
      </c>
      <c r="Q161" s="1">
        <v>46170</v>
      </c>
      <c r="R161" s="1">
        <v>46184</v>
      </c>
      <c r="S161" s="1">
        <v>46195</v>
      </c>
    </row>
    <row r="162" spans="1:20" x14ac:dyDescent="0.3">
      <c r="A162" t="s">
        <v>187</v>
      </c>
      <c r="B162">
        <v>2026</v>
      </c>
      <c r="C162" s="1">
        <v>46082</v>
      </c>
      <c r="D162" s="1">
        <v>46174</v>
      </c>
      <c r="E162" t="s">
        <v>21</v>
      </c>
      <c r="Q162" s="1"/>
      <c r="R162" s="1"/>
      <c r="S162" s="1"/>
    </row>
    <row r="163" spans="1:20" x14ac:dyDescent="0.3">
      <c r="A163" t="s">
        <v>188</v>
      </c>
      <c r="B163">
        <v>2026</v>
      </c>
      <c r="C163" s="1">
        <v>46082</v>
      </c>
      <c r="D163" s="1">
        <v>46226</v>
      </c>
      <c r="E163" t="s">
        <v>19</v>
      </c>
      <c r="F163" t="s">
        <v>23</v>
      </c>
      <c r="G163" t="s">
        <v>24</v>
      </c>
      <c r="H163">
        <v>4</v>
      </c>
      <c r="I163">
        <v>4</v>
      </c>
      <c r="J163">
        <v>4</v>
      </c>
      <c r="K163">
        <f t="shared" ref="K163:K167" si="40">J163/H163</f>
        <v>1</v>
      </c>
      <c r="L163">
        <v>304046938</v>
      </c>
      <c r="M163">
        <v>304047047</v>
      </c>
      <c r="N163" t="s">
        <v>38</v>
      </c>
      <c r="O163" t="s">
        <v>25</v>
      </c>
      <c r="P163">
        <f t="shared" ref="P163:P165" si="41">MONTH(Q163)</f>
        <v>5</v>
      </c>
      <c r="Q163" s="1">
        <v>46144</v>
      </c>
      <c r="R163" s="1">
        <v>46157</v>
      </c>
      <c r="S163" s="1">
        <v>46167</v>
      </c>
    </row>
    <row r="164" spans="1:20" x14ac:dyDescent="0.3">
      <c r="A164" t="s">
        <v>188</v>
      </c>
      <c r="B164">
        <v>2026</v>
      </c>
      <c r="C164" s="1">
        <v>46082</v>
      </c>
      <c r="D164" s="1">
        <v>46226</v>
      </c>
      <c r="E164" t="s">
        <v>19</v>
      </c>
      <c r="F164" t="s">
        <v>23</v>
      </c>
      <c r="G164" t="s">
        <v>24</v>
      </c>
      <c r="H164">
        <v>4</v>
      </c>
      <c r="I164">
        <v>2</v>
      </c>
      <c r="J164">
        <v>1</v>
      </c>
      <c r="K164">
        <f t="shared" si="40"/>
        <v>0.25</v>
      </c>
      <c r="L164">
        <v>304046938</v>
      </c>
      <c r="M164">
        <v>304047047</v>
      </c>
      <c r="N164" t="s">
        <v>38</v>
      </c>
      <c r="O164" t="s">
        <v>25</v>
      </c>
      <c r="P164">
        <f t="shared" si="41"/>
        <v>5</v>
      </c>
      <c r="Q164" s="1">
        <v>46172</v>
      </c>
      <c r="R164" s="1">
        <v>46189</v>
      </c>
      <c r="S164" s="1">
        <v>46198</v>
      </c>
    </row>
    <row r="165" spans="1:20" x14ac:dyDescent="0.3">
      <c r="A165" t="s">
        <v>189</v>
      </c>
      <c r="B165">
        <v>2026</v>
      </c>
      <c r="C165" s="1">
        <v>46082</v>
      </c>
      <c r="D165" s="1">
        <v>46226</v>
      </c>
      <c r="E165" t="s">
        <v>19</v>
      </c>
      <c r="F165" t="s">
        <v>23</v>
      </c>
      <c r="G165" t="s">
        <v>217</v>
      </c>
      <c r="H165">
        <v>5</v>
      </c>
      <c r="I165">
        <v>0</v>
      </c>
      <c r="J165">
        <v>0</v>
      </c>
      <c r="K165">
        <f t="shared" si="40"/>
        <v>0</v>
      </c>
      <c r="N165" t="s">
        <v>18</v>
      </c>
      <c r="O165" t="s">
        <v>18</v>
      </c>
      <c r="P165">
        <f t="shared" si="41"/>
        <v>4</v>
      </c>
      <c r="Q165" s="1">
        <v>46122</v>
      </c>
      <c r="R165" s="1"/>
      <c r="S165" s="1"/>
      <c r="T165" t="s">
        <v>190</v>
      </c>
    </row>
    <row r="166" spans="1:20" x14ac:dyDescent="0.3">
      <c r="A166" t="s">
        <v>189</v>
      </c>
      <c r="B166">
        <v>2026</v>
      </c>
      <c r="C166" s="1">
        <v>46082</v>
      </c>
      <c r="D166" s="1">
        <v>46226</v>
      </c>
      <c r="E166" t="s">
        <v>19</v>
      </c>
      <c r="F166" t="s">
        <v>23</v>
      </c>
      <c r="G166" t="s">
        <v>218</v>
      </c>
      <c r="J166">
        <v>0</v>
      </c>
      <c r="N166" t="s">
        <v>18</v>
      </c>
      <c r="O166" t="s">
        <v>18</v>
      </c>
      <c r="Q166" s="1"/>
      <c r="R166" s="1"/>
      <c r="S166" s="1"/>
    </row>
    <row r="167" spans="1:20" x14ac:dyDescent="0.3">
      <c r="A167" t="s">
        <v>191</v>
      </c>
      <c r="B167">
        <v>2026</v>
      </c>
      <c r="C167" s="1">
        <v>46082</v>
      </c>
      <c r="D167" s="1">
        <v>46226</v>
      </c>
      <c r="E167" t="s">
        <v>19</v>
      </c>
      <c r="F167" t="s">
        <v>23</v>
      </c>
      <c r="G167" t="s">
        <v>24</v>
      </c>
      <c r="H167">
        <v>4</v>
      </c>
      <c r="I167">
        <v>2</v>
      </c>
      <c r="J167">
        <v>2</v>
      </c>
      <c r="K167">
        <f t="shared" si="40"/>
        <v>0.5</v>
      </c>
      <c r="L167">
        <v>199020860</v>
      </c>
      <c r="M167">
        <v>304046847</v>
      </c>
      <c r="N167" t="s">
        <v>20</v>
      </c>
      <c r="O167" t="s">
        <v>18</v>
      </c>
      <c r="P167">
        <f>MONTH(Q167)</f>
        <v>5</v>
      </c>
      <c r="Q167" s="1">
        <v>46167</v>
      </c>
      <c r="R167" s="1">
        <v>46184</v>
      </c>
      <c r="S167" s="1">
        <v>46195</v>
      </c>
    </row>
    <row r="168" spans="1:20" x14ac:dyDescent="0.3">
      <c r="A168" t="s">
        <v>192</v>
      </c>
      <c r="B168">
        <v>2026</v>
      </c>
      <c r="C168" s="1">
        <v>46082</v>
      </c>
      <c r="D168" s="1">
        <v>46226</v>
      </c>
      <c r="E168" t="s">
        <v>21</v>
      </c>
      <c r="Q168" s="1"/>
      <c r="R168" s="1"/>
      <c r="S168" s="1"/>
    </row>
    <row r="169" spans="1:20" x14ac:dyDescent="0.3">
      <c r="A169" t="s">
        <v>193</v>
      </c>
      <c r="B169">
        <v>2026</v>
      </c>
      <c r="C169" s="1">
        <v>46082</v>
      </c>
      <c r="D169" s="1">
        <v>46226</v>
      </c>
      <c r="E169" t="s">
        <v>21</v>
      </c>
      <c r="Q169" s="1"/>
      <c r="R169" s="1"/>
      <c r="S169" s="1"/>
    </row>
    <row r="170" spans="1:20" x14ac:dyDescent="0.3">
      <c r="A170" t="s">
        <v>194</v>
      </c>
      <c r="B170">
        <v>2026</v>
      </c>
      <c r="C170" s="1">
        <v>46082</v>
      </c>
      <c r="D170" s="1">
        <v>46226</v>
      </c>
      <c r="E170" t="s">
        <v>19</v>
      </c>
      <c r="F170" t="s">
        <v>23</v>
      </c>
      <c r="G170" t="s">
        <v>213</v>
      </c>
      <c r="H170">
        <v>4</v>
      </c>
      <c r="I170">
        <v>3</v>
      </c>
      <c r="J170">
        <v>0</v>
      </c>
      <c r="K170">
        <f t="shared" ref="K170:K174" si="42">J170/H170</f>
        <v>0</v>
      </c>
      <c r="N170" t="s">
        <v>18</v>
      </c>
      <c r="O170" t="s">
        <v>18</v>
      </c>
      <c r="P170">
        <f t="shared" ref="P170:P174" si="43">MONTH(Q170)</f>
        <v>5</v>
      </c>
      <c r="Q170" s="1">
        <v>46158</v>
      </c>
      <c r="R170" s="1">
        <v>46174</v>
      </c>
      <c r="S170" s="1"/>
      <c r="T170" t="s">
        <v>195</v>
      </c>
    </row>
    <row r="171" spans="1:20" x14ac:dyDescent="0.3">
      <c r="A171" t="s">
        <v>196</v>
      </c>
      <c r="B171">
        <v>2026</v>
      </c>
      <c r="C171" s="1">
        <v>46082</v>
      </c>
      <c r="D171" s="1">
        <v>46226</v>
      </c>
      <c r="E171" t="s">
        <v>19</v>
      </c>
      <c r="F171" t="s">
        <v>27</v>
      </c>
      <c r="G171" t="s">
        <v>214</v>
      </c>
      <c r="H171">
        <v>4</v>
      </c>
      <c r="I171">
        <v>0</v>
      </c>
      <c r="J171">
        <v>0</v>
      </c>
      <c r="K171">
        <f t="shared" si="42"/>
        <v>0</v>
      </c>
      <c r="N171" t="s">
        <v>18</v>
      </c>
      <c r="O171" t="s">
        <v>18</v>
      </c>
      <c r="P171">
        <f t="shared" si="43"/>
        <v>5</v>
      </c>
      <c r="Q171" s="1">
        <v>46153</v>
      </c>
      <c r="R171" s="1"/>
      <c r="S171" s="1"/>
    </row>
    <row r="172" spans="1:20" x14ac:dyDescent="0.3">
      <c r="A172" t="s">
        <v>197</v>
      </c>
      <c r="B172">
        <v>2026</v>
      </c>
      <c r="C172" s="1">
        <v>46082</v>
      </c>
      <c r="D172" s="1">
        <v>46226</v>
      </c>
      <c r="E172" t="s">
        <v>19</v>
      </c>
      <c r="F172" t="s">
        <v>23</v>
      </c>
      <c r="G172" t="s">
        <v>24</v>
      </c>
      <c r="H172">
        <v>6</v>
      </c>
      <c r="I172">
        <v>6</v>
      </c>
      <c r="J172">
        <v>6</v>
      </c>
      <c r="K172">
        <f t="shared" si="42"/>
        <v>1</v>
      </c>
      <c r="L172">
        <v>304046948</v>
      </c>
      <c r="M172">
        <v>301052621</v>
      </c>
      <c r="N172" t="s">
        <v>29</v>
      </c>
      <c r="O172" t="s">
        <v>38</v>
      </c>
      <c r="P172">
        <f t="shared" si="43"/>
        <v>4</v>
      </c>
      <c r="Q172" s="1">
        <v>46122</v>
      </c>
      <c r="R172" s="1">
        <v>46139</v>
      </c>
      <c r="S172" s="1">
        <v>46152</v>
      </c>
    </row>
    <row r="173" spans="1:20" x14ac:dyDescent="0.3">
      <c r="A173" t="s">
        <v>197</v>
      </c>
      <c r="B173">
        <v>2026</v>
      </c>
      <c r="C173" s="1">
        <v>46082</v>
      </c>
      <c r="D173" s="1">
        <v>46226</v>
      </c>
      <c r="E173" t="s">
        <v>19</v>
      </c>
      <c r="F173" t="s">
        <v>23</v>
      </c>
      <c r="G173" t="s">
        <v>24</v>
      </c>
      <c r="H173">
        <v>4</v>
      </c>
      <c r="I173">
        <v>4</v>
      </c>
      <c r="J173">
        <v>3</v>
      </c>
      <c r="K173">
        <f t="shared" si="42"/>
        <v>0.75</v>
      </c>
      <c r="L173">
        <v>199020861</v>
      </c>
      <c r="M173">
        <v>301052621</v>
      </c>
      <c r="N173" t="s">
        <v>25</v>
      </c>
      <c r="O173" t="s">
        <v>38</v>
      </c>
      <c r="P173">
        <f t="shared" si="43"/>
        <v>6</v>
      </c>
      <c r="Q173" s="1">
        <v>46183</v>
      </c>
      <c r="R173" s="1">
        <v>46197</v>
      </c>
      <c r="S173" s="1">
        <v>46209</v>
      </c>
    </row>
    <row r="174" spans="1:20" x14ac:dyDescent="0.3">
      <c r="A174" t="s">
        <v>198</v>
      </c>
      <c r="B174">
        <v>2026</v>
      </c>
      <c r="C174" s="1">
        <v>46082</v>
      </c>
      <c r="D174" s="1">
        <v>46226</v>
      </c>
      <c r="E174" t="s">
        <v>19</v>
      </c>
      <c r="F174" t="s">
        <v>27</v>
      </c>
      <c r="G174" t="s">
        <v>24</v>
      </c>
      <c r="H174">
        <v>5</v>
      </c>
      <c r="I174">
        <v>5</v>
      </c>
      <c r="J174">
        <v>5</v>
      </c>
      <c r="K174">
        <f t="shared" si="42"/>
        <v>1</v>
      </c>
      <c r="N174" t="s">
        <v>18</v>
      </c>
      <c r="O174" t="s">
        <v>18</v>
      </c>
      <c r="P174">
        <f t="shared" si="43"/>
        <v>4</v>
      </c>
      <c r="Q174" s="1">
        <v>46134</v>
      </c>
      <c r="R174" s="1">
        <v>46153</v>
      </c>
      <c r="S174" s="1">
        <v>46164</v>
      </c>
    </row>
    <row r="175" spans="1:20" x14ac:dyDescent="0.3">
      <c r="A175" t="s">
        <v>199</v>
      </c>
      <c r="B175">
        <v>2026</v>
      </c>
      <c r="C175" s="1">
        <v>46082</v>
      </c>
      <c r="D175" s="1">
        <v>46181</v>
      </c>
      <c r="E175" t="s">
        <v>21</v>
      </c>
      <c r="Q175" s="1"/>
      <c r="R175" s="1"/>
      <c r="S175" s="1"/>
    </row>
    <row r="176" spans="1:20" x14ac:dyDescent="0.3">
      <c r="A176" t="s">
        <v>200</v>
      </c>
      <c r="B176">
        <v>2026</v>
      </c>
      <c r="C176" s="1">
        <v>46082</v>
      </c>
      <c r="D176" s="1">
        <v>46181</v>
      </c>
      <c r="E176" t="s">
        <v>19</v>
      </c>
      <c r="F176" t="s">
        <v>23</v>
      </c>
      <c r="G176" t="s">
        <v>24</v>
      </c>
      <c r="H176">
        <v>5</v>
      </c>
      <c r="I176">
        <v>5</v>
      </c>
      <c r="J176">
        <v>4</v>
      </c>
      <c r="K176">
        <f>J176/H176</f>
        <v>0.8</v>
      </c>
      <c r="M176">
        <v>304047014</v>
      </c>
      <c r="N176" t="s">
        <v>18</v>
      </c>
      <c r="O176" t="s">
        <v>20</v>
      </c>
      <c r="P176">
        <f>MONTH(Q176)</f>
        <v>4</v>
      </c>
      <c r="Q176" s="1">
        <v>46133</v>
      </c>
      <c r="R176" s="1">
        <v>46150</v>
      </c>
      <c r="S176" s="1">
        <v>46162</v>
      </c>
    </row>
    <row r="177" spans="1:20" x14ac:dyDescent="0.3">
      <c r="A177" t="s">
        <v>201</v>
      </c>
      <c r="B177">
        <v>2026</v>
      </c>
      <c r="C177" s="1">
        <v>46082</v>
      </c>
      <c r="D177" s="1">
        <v>46181</v>
      </c>
      <c r="E177" t="s">
        <v>21</v>
      </c>
      <c r="Q177" s="1"/>
      <c r="R177" s="1"/>
      <c r="S177" s="1"/>
    </row>
    <row r="178" spans="1:20" x14ac:dyDescent="0.3">
      <c r="A178" t="s">
        <v>202</v>
      </c>
      <c r="B178">
        <v>2026</v>
      </c>
      <c r="C178" s="1">
        <v>46082</v>
      </c>
      <c r="D178" s="1">
        <v>46181</v>
      </c>
      <c r="E178" t="s">
        <v>19</v>
      </c>
      <c r="F178" t="s">
        <v>23</v>
      </c>
      <c r="G178" t="s">
        <v>213</v>
      </c>
      <c r="H178">
        <v>5</v>
      </c>
      <c r="I178">
        <v>5</v>
      </c>
      <c r="J178">
        <v>0</v>
      </c>
      <c r="K178">
        <f>J178/H178</f>
        <v>0</v>
      </c>
      <c r="M178">
        <v>304046893</v>
      </c>
      <c r="N178" t="s">
        <v>18</v>
      </c>
      <c r="O178" t="s">
        <v>38</v>
      </c>
      <c r="P178">
        <f>MONTH(Q178)</f>
        <v>4</v>
      </c>
      <c r="Q178" s="1">
        <v>46142</v>
      </c>
      <c r="R178" s="1">
        <v>46158</v>
      </c>
      <c r="S178" s="1"/>
      <c r="T178" t="s">
        <v>203</v>
      </c>
    </row>
    <row r="179" spans="1:20" x14ac:dyDescent="0.3">
      <c r="A179" t="s">
        <v>204</v>
      </c>
      <c r="B179">
        <v>2026</v>
      </c>
      <c r="C179" s="1">
        <v>46082</v>
      </c>
      <c r="D179" s="1">
        <v>46181</v>
      </c>
      <c r="E179" t="s">
        <v>21</v>
      </c>
      <c r="Q179" s="1"/>
      <c r="R179" s="1"/>
      <c r="S179" s="1"/>
    </row>
    <row r="180" spans="1:20" x14ac:dyDescent="0.3">
      <c r="A180" t="s">
        <v>205</v>
      </c>
      <c r="B180">
        <v>2026</v>
      </c>
      <c r="C180" s="1">
        <v>46082</v>
      </c>
      <c r="D180" s="1">
        <v>46181</v>
      </c>
      <c r="E180" t="s">
        <v>21</v>
      </c>
      <c r="Q180" s="1"/>
      <c r="R180" s="1"/>
      <c r="S180" s="1"/>
    </row>
    <row r="181" spans="1:20" x14ac:dyDescent="0.3">
      <c r="A181" t="s">
        <v>206</v>
      </c>
      <c r="B181">
        <v>2026</v>
      </c>
      <c r="C181" s="1">
        <v>46082</v>
      </c>
      <c r="D181" s="1">
        <v>46181</v>
      </c>
      <c r="E181" t="s">
        <v>21</v>
      </c>
      <c r="Q181" s="1"/>
      <c r="R181" s="1"/>
      <c r="S181" s="1"/>
    </row>
    <row r="182" spans="1:20" x14ac:dyDescent="0.3">
      <c r="A182" t="s">
        <v>207</v>
      </c>
      <c r="B182">
        <v>2026</v>
      </c>
      <c r="C182" s="1">
        <v>46082</v>
      </c>
      <c r="D182" s="1">
        <v>46181</v>
      </c>
      <c r="E182" t="s">
        <v>19</v>
      </c>
      <c r="F182" t="s">
        <v>23</v>
      </c>
      <c r="G182" t="s">
        <v>213</v>
      </c>
      <c r="H182">
        <v>5</v>
      </c>
      <c r="I182">
        <v>5</v>
      </c>
      <c r="J182">
        <v>0</v>
      </c>
      <c r="K182">
        <f t="shared" ref="K182:K183" si="44">J182/H182</f>
        <v>0</v>
      </c>
      <c r="L182">
        <v>304047016</v>
      </c>
      <c r="M182">
        <v>304047255</v>
      </c>
      <c r="N182" t="s">
        <v>25</v>
      </c>
      <c r="O182" t="s">
        <v>36</v>
      </c>
      <c r="P182">
        <f t="shared" ref="P182:P183" si="45">MONTH(Q182)</f>
        <v>4</v>
      </c>
      <c r="Q182" s="1">
        <v>46132</v>
      </c>
      <c r="R182" s="1">
        <v>46149</v>
      </c>
      <c r="S182" s="1"/>
      <c r="T182" t="s">
        <v>203</v>
      </c>
    </row>
    <row r="183" spans="1:20" x14ac:dyDescent="0.3">
      <c r="A183" t="s">
        <v>207</v>
      </c>
      <c r="B183">
        <v>2026</v>
      </c>
      <c r="C183" s="1">
        <v>46082</v>
      </c>
      <c r="D183" s="1">
        <v>46181</v>
      </c>
      <c r="E183" t="s">
        <v>19</v>
      </c>
      <c r="F183" t="s">
        <v>23</v>
      </c>
      <c r="G183" t="s">
        <v>213</v>
      </c>
      <c r="H183">
        <v>4</v>
      </c>
      <c r="I183">
        <v>4</v>
      </c>
      <c r="J183">
        <v>0</v>
      </c>
      <c r="K183">
        <f t="shared" si="44"/>
        <v>0</v>
      </c>
      <c r="L183">
        <v>304047016</v>
      </c>
      <c r="M183">
        <v>304047255</v>
      </c>
      <c r="N183" t="s">
        <v>25</v>
      </c>
      <c r="O183" t="s">
        <v>36</v>
      </c>
      <c r="P183">
        <f t="shared" si="45"/>
        <v>5</v>
      </c>
      <c r="Q183" s="1">
        <v>46171</v>
      </c>
      <c r="R183" s="1">
        <v>46181</v>
      </c>
      <c r="S183" s="1"/>
      <c r="T183" t="s">
        <v>203</v>
      </c>
    </row>
    <row r="184" spans="1:20" x14ac:dyDescent="0.3">
      <c r="A184" t="s">
        <v>208</v>
      </c>
      <c r="B184">
        <v>2026</v>
      </c>
      <c r="C184" s="1">
        <v>46082</v>
      </c>
      <c r="D184" s="1">
        <v>46181</v>
      </c>
      <c r="E184" t="s">
        <v>21</v>
      </c>
    </row>
    <row r="185" spans="1:20" x14ac:dyDescent="0.3">
      <c r="A185" t="s">
        <v>209</v>
      </c>
      <c r="B185">
        <v>2026</v>
      </c>
      <c r="C185" s="1">
        <v>46082</v>
      </c>
      <c r="D185" s="1">
        <v>46181</v>
      </c>
      <c r="E185" t="s">
        <v>21</v>
      </c>
    </row>
    <row r="186" spans="1:20" x14ac:dyDescent="0.3">
      <c r="A186" t="s">
        <v>210</v>
      </c>
      <c r="B186">
        <v>2026</v>
      </c>
      <c r="C186" s="1">
        <v>46082</v>
      </c>
      <c r="D186" s="1">
        <v>46181</v>
      </c>
      <c r="E186" t="s">
        <v>21</v>
      </c>
    </row>
    <row r="187" spans="1:20" x14ac:dyDescent="0.3">
      <c r="A187" t="s">
        <v>211</v>
      </c>
      <c r="B187">
        <v>2026</v>
      </c>
      <c r="C187" s="1">
        <v>46082</v>
      </c>
      <c r="D187" s="1">
        <v>46181</v>
      </c>
      <c r="E187" t="s">
        <v>21</v>
      </c>
    </row>
    <row r="188" spans="1:20" x14ac:dyDescent="0.3">
      <c r="A188" t="s">
        <v>212</v>
      </c>
      <c r="B188">
        <v>2026</v>
      </c>
      <c r="C188" s="1">
        <v>46082</v>
      </c>
      <c r="D188" s="1">
        <v>46181</v>
      </c>
      <c r="E18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LSU AgCenter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Erik I.</dc:creator>
  <cp:lastModifiedBy>Johnson, Erik I.</cp:lastModifiedBy>
  <dcterms:created xsi:type="dcterms:W3CDTF">2026-10-19T19:33:59Z</dcterms:created>
  <dcterms:modified xsi:type="dcterms:W3CDTF">2026-10-19T19:59:45Z</dcterms:modified>
</cp:coreProperties>
</file>